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mar\Downloads\"/>
    </mc:Choice>
  </mc:AlternateContent>
  <xr:revisionPtr revIDLastSave="0" documentId="13_ncr:1_{2CFEB8F9-52BB-4A50-AC44-8DE66355B7D0}" xr6:coauthVersionLast="47" xr6:coauthVersionMax="47" xr10:uidLastSave="{00000000-0000-0000-0000-000000000000}"/>
  <bookViews>
    <workbookView xWindow="-108" yWindow="-108" windowWidth="23256" windowHeight="13896" tabRatio="500" activeTab="2" xr2:uid="{00000000-000D-0000-FFFF-FFFF00000000}"/>
  </bookViews>
  <sheets>
    <sheet name="Cover Page" sheetId="1" r:id="rId1"/>
    <sheet name="Dashboard" sheetId="2" r:id="rId2"/>
    <sheet name="Assessment" sheetId="3" r:id="rId3"/>
    <sheet name="Gap Analysis" sheetId="4" r:id="rId4"/>
    <sheet name="Subdomain Summary" sheetId="5" r:id="rId5"/>
    <sheet name="VBA Macro Instructions" sheetId="6" r:id="rId6"/>
  </sheets>
  <definedNames>
    <definedName name="_xlnm._FilterDatabase" localSheetId="2" hidden="1">Assessment!$A$3:$I$143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34" i="5" l="1"/>
  <c r="F34" i="5"/>
  <c r="E34" i="5"/>
  <c r="D34" i="5"/>
  <c r="H34" i="5" s="1"/>
  <c r="H33" i="5"/>
  <c r="G33" i="5"/>
  <c r="F33" i="5"/>
  <c r="E33" i="5"/>
  <c r="D33" i="5"/>
  <c r="H31" i="5"/>
  <c r="G31" i="5"/>
  <c r="F31" i="5"/>
  <c r="E31" i="5"/>
  <c r="D31" i="5"/>
  <c r="G29" i="5"/>
  <c r="F29" i="5"/>
  <c r="H29" i="5" s="1"/>
  <c r="E29" i="5"/>
  <c r="D29" i="5"/>
  <c r="G28" i="5"/>
  <c r="F28" i="5"/>
  <c r="E28" i="5"/>
  <c r="D28" i="5"/>
  <c r="H28" i="5" s="1"/>
  <c r="H27" i="5"/>
  <c r="G27" i="5"/>
  <c r="F27" i="5"/>
  <c r="E27" i="5"/>
  <c r="D27" i="5"/>
  <c r="H26" i="5"/>
  <c r="G26" i="5"/>
  <c r="F26" i="5"/>
  <c r="E26" i="5"/>
  <c r="D26" i="5"/>
  <c r="G25" i="5"/>
  <c r="F25" i="5"/>
  <c r="H25" i="5" s="1"/>
  <c r="E25" i="5"/>
  <c r="D25" i="5"/>
  <c r="G24" i="5"/>
  <c r="F24" i="5"/>
  <c r="E24" i="5"/>
  <c r="D24" i="5"/>
  <c r="H24" i="5" s="1"/>
  <c r="H23" i="5"/>
  <c r="G23" i="5"/>
  <c r="F23" i="5"/>
  <c r="E23" i="5"/>
  <c r="D23" i="5"/>
  <c r="H22" i="5"/>
  <c r="G22" i="5"/>
  <c r="F22" i="5"/>
  <c r="E22" i="5"/>
  <c r="D22" i="5"/>
  <c r="G21" i="5"/>
  <c r="F21" i="5"/>
  <c r="H21" i="5" s="1"/>
  <c r="E21" i="5"/>
  <c r="D21" i="5"/>
  <c r="G20" i="5"/>
  <c r="F20" i="5"/>
  <c r="E20" i="5"/>
  <c r="D20" i="5"/>
  <c r="H20" i="5" s="1"/>
  <c r="H19" i="5"/>
  <c r="G19" i="5"/>
  <c r="F19" i="5"/>
  <c r="E19" i="5"/>
  <c r="D19" i="5"/>
  <c r="H18" i="5"/>
  <c r="G18" i="5"/>
  <c r="F18" i="5"/>
  <c r="E18" i="5"/>
  <c r="D18" i="5"/>
  <c r="G17" i="5"/>
  <c r="F17" i="5"/>
  <c r="H17" i="5" s="1"/>
  <c r="E17" i="5"/>
  <c r="D17" i="5"/>
  <c r="G16" i="5"/>
  <c r="F16" i="5"/>
  <c r="E16" i="5"/>
  <c r="D16" i="5"/>
  <c r="H16" i="5" s="1"/>
  <c r="H15" i="5"/>
  <c r="G15" i="5"/>
  <c r="F15" i="5"/>
  <c r="E15" i="5"/>
  <c r="D15" i="5"/>
  <c r="H13" i="5"/>
  <c r="G13" i="5"/>
  <c r="F13" i="5"/>
  <c r="E13" i="5"/>
  <c r="D13" i="5"/>
  <c r="G12" i="5"/>
  <c r="F12" i="5"/>
  <c r="H12" i="5" s="1"/>
  <c r="E12" i="5"/>
  <c r="D12" i="5"/>
  <c r="G11" i="5"/>
  <c r="F11" i="5"/>
  <c r="E11" i="5"/>
  <c r="D11" i="5"/>
  <c r="H11" i="5" s="1"/>
  <c r="H10" i="5"/>
  <c r="G10" i="5"/>
  <c r="F10" i="5"/>
  <c r="E10" i="5"/>
  <c r="D10" i="5"/>
  <c r="H9" i="5"/>
  <c r="G9" i="5"/>
  <c r="F9" i="5"/>
  <c r="E9" i="5"/>
  <c r="D9" i="5"/>
  <c r="G8" i="5"/>
  <c r="F8" i="5"/>
  <c r="H8" i="5" s="1"/>
  <c r="E8" i="5"/>
  <c r="D8" i="5"/>
  <c r="G7" i="5"/>
  <c r="F7" i="5"/>
  <c r="E7" i="5"/>
  <c r="D7" i="5"/>
  <c r="H7" i="5" s="1"/>
  <c r="H6" i="5"/>
  <c r="G6" i="5"/>
  <c r="F6" i="5"/>
  <c r="E6" i="5"/>
  <c r="D6" i="5"/>
  <c r="H5" i="5"/>
  <c r="G5" i="5"/>
  <c r="F5" i="5"/>
  <c r="E5" i="5"/>
  <c r="D5" i="5"/>
  <c r="G4" i="5"/>
  <c r="F4" i="5"/>
  <c r="H4" i="5" s="1"/>
  <c r="E4" i="5"/>
  <c r="D4" i="5"/>
  <c r="F111" i="4"/>
  <c r="E111" i="4"/>
  <c r="D111" i="4"/>
  <c r="C111" i="4"/>
  <c r="B111" i="4"/>
  <c r="A111" i="4"/>
  <c r="F110" i="4"/>
  <c r="E110" i="4"/>
  <c r="D110" i="4"/>
  <c r="C110" i="4"/>
  <c r="B110" i="4"/>
  <c r="A110" i="4"/>
  <c r="F109" i="4"/>
  <c r="E109" i="4"/>
  <c r="D109" i="4"/>
  <c r="C109" i="4"/>
  <c r="B109" i="4"/>
  <c r="A109" i="4"/>
  <c r="F108" i="4"/>
  <c r="E108" i="4"/>
  <c r="D108" i="4"/>
  <c r="C108" i="4"/>
  <c r="B108" i="4"/>
  <c r="A108" i="4"/>
  <c r="F107" i="4"/>
  <c r="E107" i="4"/>
  <c r="D107" i="4"/>
  <c r="C107" i="4"/>
  <c r="B107" i="4"/>
  <c r="A107" i="4"/>
  <c r="F106" i="4"/>
  <c r="E106" i="4"/>
  <c r="D106" i="4"/>
  <c r="C106" i="4"/>
  <c r="B106" i="4"/>
  <c r="A106" i="4"/>
  <c r="F105" i="4"/>
  <c r="E105" i="4"/>
  <c r="D105" i="4"/>
  <c r="C105" i="4"/>
  <c r="B105" i="4"/>
  <c r="A105" i="4"/>
  <c r="F104" i="4"/>
  <c r="E104" i="4"/>
  <c r="D104" i="4"/>
  <c r="C104" i="4"/>
  <c r="B104" i="4"/>
  <c r="A104" i="4"/>
  <c r="F103" i="4"/>
  <c r="E103" i="4"/>
  <c r="D103" i="4"/>
  <c r="C103" i="4"/>
  <c r="B103" i="4"/>
  <c r="A103" i="4"/>
  <c r="F102" i="4"/>
  <c r="E102" i="4"/>
  <c r="D102" i="4"/>
  <c r="C102" i="4"/>
  <c r="B102" i="4"/>
  <c r="A102" i="4"/>
  <c r="F101" i="4"/>
  <c r="E101" i="4"/>
  <c r="D101" i="4"/>
  <c r="C101" i="4"/>
  <c r="B101" i="4"/>
  <c r="A101" i="4"/>
  <c r="F100" i="4"/>
  <c r="E100" i="4"/>
  <c r="D100" i="4"/>
  <c r="C100" i="4"/>
  <c r="B100" i="4"/>
  <c r="A100" i="4"/>
  <c r="F99" i="4"/>
  <c r="E99" i="4"/>
  <c r="D99" i="4"/>
  <c r="C99" i="4"/>
  <c r="B99" i="4"/>
  <c r="A99" i="4"/>
  <c r="F98" i="4"/>
  <c r="E98" i="4"/>
  <c r="D98" i="4"/>
  <c r="C98" i="4"/>
  <c r="B98" i="4"/>
  <c r="A98" i="4"/>
  <c r="F97" i="4"/>
  <c r="E97" i="4"/>
  <c r="D97" i="4"/>
  <c r="C97" i="4"/>
  <c r="B97" i="4"/>
  <c r="A97" i="4"/>
  <c r="F96" i="4"/>
  <c r="E96" i="4"/>
  <c r="D96" i="4"/>
  <c r="C96" i="4"/>
  <c r="B96" i="4"/>
  <c r="A96" i="4"/>
  <c r="F95" i="4"/>
  <c r="E95" i="4"/>
  <c r="D95" i="4"/>
  <c r="C95" i="4"/>
  <c r="B95" i="4"/>
  <c r="A95" i="4"/>
  <c r="F94" i="4"/>
  <c r="E94" i="4"/>
  <c r="D94" i="4"/>
  <c r="C94" i="4"/>
  <c r="B94" i="4"/>
  <c r="A94" i="4"/>
  <c r="F93" i="4"/>
  <c r="E93" i="4"/>
  <c r="D93" i="4"/>
  <c r="C93" i="4"/>
  <c r="B93" i="4"/>
  <c r="A93" i="4"/>
  <c r="F92" i="4"/>
  <c r="E92" i="4"/>
  <c r="D92" i="4"/>
  <c r="C92" i="4"/>
  <c r="B92" i="4"/>
  <c r="A92" i="4"/>
  <c r="F91" i="4"/>
  <c r="E91" i="4"/>
  <c r="D91" i="4"/>
  <c r="C91" i="4"/>
  <c r="B91" i="4"/>
  <c r="A91" i="4"/>
  <c r="F90" i="4"/>
  <c r="E90" i="4"/>
  <c r="D90" i="4"/>
  <c r="C90" i="4"/>
  <c r="B90" i="4"/>
  <c r="A90" i="4"/>
  <c r="F89" i="4"/>
  <c r="E89" i="4"/>
  <c r="D89" i="4"/>
  <c r="C89" i="4"/>
  <c r="B89" i="4"/>
  <c r="A89" i="4"/>
  <c r="F88" i="4"/>
  <c r="E88" i="4"/>
  <c r="D88" i="4"/>
  <c r="C88" i="4"/>
  <c r="B88" i="4"/>
  <c r="A88" i="4"/>
  <c r="F87" i="4"/>
  <c r="E87" i="4"/>
  <c r="D87" i="4"/>
  <c r="C87" i="4"/>
  <c r="B87" i="4"/>
  <c r="A87" i="4"/>
  <c r="F86" i="4"/>
  <c r="E86" i="4"/>
  <c r="D86" i="4"/>
  <c r="C86" i="4"/>
  <c r="B86" i="4"/>
  <c r="A86" i="4"/>
  <c r="F85" i="4"/>
  <c r="E85" i="4"/>
  <c r="D85" i="4"/>
  <c r="C85" i="4"/>
  <c r="B85" i="4"/>
  <c r="A85" i="4"/>
  <c r="F84" i="4"/>
  <c r="E84" i="4"/>
  <c r="D84" i="4"/>
  <c r="C84" i="4"/>
  <c r="B84" i="4"/>
  <c r="A84" i="4"/>
  <c r="F83" i="4"/>
  <c r="E83" i="4"/>
  <c r="D83" i="4"/>
  <c r="C83" i="4"/>
  <c r="B83" i="4"/>
  <c r="A83" i="4"/>
  <c r="F82" i="4"/>
  <c r="E82" i="4"/>
  <c r="D82" i="4"/>
  <c r="C82" i="4"/>
  <c r="B82" i="4"/>
  <c r="A82" i="4"/>
  <c r="F81" i="4"/>
  <c r="E81" i="4"/>
  <c r="D81" i="4"/>
  <c r="C81" i="4"/>
  <c r="B81" i="4"/>
  <c r="A81" i="4"/>
  <c r="F80" i="4"/>
  <c r="E80" i="4"/>
  <c r="D80" i="4"/>
  <c r="C80" i="4"/>
  <c r="B80" i="4"/>
  <c r="A80" i="4"/>
  <c r="F79" i="4"/>
  <c r="E79" i="4"/>
  <c r="D79" i="4"/>
  <c r="C79" i="4"/>
  <c r="B79" i="4"/>
  <c r="A79" i="4"/>
  <c r="F78" i="4"/>
  <c r="E78" i="4"/>
  <c r="D78" i="4"/>
  <c r="C78" i="4"/>
  <c r="B78" i="4"/>
  <c r="A78" i="4"/>
  <c r="F77" i="4"/>
  <c r="E77" i="4"/>
  <c r="D77" i="4"/>
  <c r="C77" i="4"/>
  <c r="B77" i="4"/>
  <c r="A77" i="4"/>
  <c r="F76" i="4"/>
  <c r="E76" i="4"/>
  <c r="D76" i="4"/>
  <c r="C76" i="4"/>
  <c r="B76" i="4"/>
  <c r="A76" i="4"/>
  <c r="F75" i="4"/>
  <c r="E75" i="4"/>
  <c r="D75" i="4"/>
  <c r="C75" i="4"/>
  <c r="B75" i="4"/>
  <c r="A75" i="4"/>
  <c r="F74" i="4"/>
  <c r="E74" i="4"/>
  <c r="D74" i="4"/>
  <c r="C74" i="4"/>
  <c r="B74" i="4"/>
  <c r="A74" i="4"/>
  <c r="F73" i="4"/>
  <c r="E73" i="4"/>
  <c r="D73" i="4"/>
  <c r="C73" i="4"/>
  <c r="B73" i="4"/>
  <c r="A73" i="4"/>
  <c r="F72" i="4"/>
  <c r="E72" i="4"/>
  <c r="D72" i="4"/>
  <c r="C72" i="4"/>
  <c r="B72" i="4"/>
  <c r="A72" i="4"/>
  <c r="F71" i="4"/>
  <c r="E71" i="4"/>
  <c r="D71" i="4"/>
  <c r="C71" i="4"/>
  <c r="B71" i="4"/>
  <c r="A71" i="4"/>
  <c r="F70" i="4"/>
  <c r="E70" i="4"/>
  <c r="D70" i="4"/>
  <c r="C70" i="4"/>
  <c r="B70" i="4"/>
  <c r="A70" i="4"/>
  <c r="F69" i="4"/>
  <c r="E69" i="4"/>
  <c r="D69" i="4"/>
  <c r="C69" i="4"/>
  <c r="B69" i="4"/>
  <c r="A69" i="4"/>
  <c r="F68" i="4"/>
  <c r="E68" i="4"/>
  <c r="D68" i="4"/>
  <c r="C68" i="4"/>
  <c r="B68" i="4"/>
  <c r="A68" i="4"/>
  <c r="F67" i="4"/>
  <c r="E67" i="4"/>
  <c r="D67" i="4"/>
  <c r="C67" i="4"/>
  <c r="B67" i="4"/>
  <c r="A67" i="4"/>
  <c r="F66" i="4"/>
  <c r="E66" i="4"/>
  <c r="D66" i="4"/>
  <c r="C66" i="4"/>
  <c r="B66" i="4"/>
  <c r="A66" i="4"/>
  <c r="F65" i="4"/>
  <c r="E65" i="4"/>
  <c r="D65" i="4"/>
  <c r="C65" i="4"/>
  <c r="B65" i="4"/>
  <c r="A65" i="4"/>
  <c r="F64" i="4"/>
  <c r="E64" i="4"/>
  <c r="D64" i="4"/>
  <c r="C64" i="4"/>
  <c r="B64" i="4"/>
  <c r="A64" i="4"/>
  <c r="F63" i="4"/>
  <c r="E63" i="4"/>
  <c r="D63" i="4"/>
  <c r="C63" i="4"/>
  <c r="B63" i="4"/>
  <c r="A63" i="4"/>
  <c r="F62" i="4"/>
  <c r="E62" i="4"/>
  <c r="D62" i="4"/>
  <c r="C62" i="4"/>
  <c r="B62" i="4"/>
  <c r="A62" i="4"/>
  <c r="F61" i="4"/>
  <c r="E61" i="4"/>
  <c r="D61" i="4"/>
  <c r="C61" i="4"/>
  <c r="B61" i="4"/>
  <c r="A61" i="4"/>
  <c r="F60" i="4"/>
  <c r="E60" i="4"/>
  <c r="D60" i="4"/>
  <c r="C60" i="4"/>
  <c r="B60" i="4"/>
  <c r="A60" i="4"/>
  <c r="F59" i="4"/>
  <c r="E59" i="4"/>
  <c r="D59" i="4"/>
  <c r="C59" i="4"/>
  <c r="B59" i="4"/>
  <c r="A59" i="4"/>
  <c r="F58" i="4"/>
  <c r="E58" i="4"/>
  <c r="D58" i="4"/>
  <c r="C58" i="4"/>
  <c r="B58" i="4"/>
  <c r="A58" i="4"/>
  <c r="F57" i="4"/>
  <c r="E57" i="4"/>
  <c r="D57" i="4"/>
  <c r="C57" i="4"/>
  <c r="B57" i="4"/>
  <c r="A57" i="4"/>
  <c r="F56" i="4"/>
  <c r="E56" i="4"/>
  <c r="D56" i="4"/>
  <c r="C56" i="4"/>
  <c r="B56" i="4"/>
  <c r="A56" i="4"/>
  <c r="F55" i="4"/>
  <c r="E55" i="4"/>
  <c r="D55" i="4"/>
  <c r="C55" i="4"/>
  <c r="B55" i="4"/>
  <c r="A55" i="4"/>
  <c r="F54" i="4"/>
  <c r="E54" i="4"/>
  <c r="D54" i="4"/>
  <c r="C54" i="4"/>
  <c r="B54" i="4"/>
  <c r="A54" i="4"/>
  <c r="F53" i="4"/>
  <c r="E53" i="4"/>
  <c r="D53" i="4"/>
  <c r="C53" i="4"/>
  <c r="B53" i="4"/>
  <c r="A53" i="4"/>
  <c r="F52" i="4"/>
  <c r="E52" i="4"/>
  <c r="D52" i="4"/>
  <c r="C52" i="4"/>
  <c r="B52" i="4"/>
  <c r="A52" i="4"/>
  <c r="F51" i="4"/>
  <c r="E51" i="4"/>
  <c r="D51" i="4"/>
  <c r="C51" i="4"/>
  <c r="B51" i="4"/>
  <c r="A51" i="4"/>
  <c r="F50" i="4"/>
  <c r="E50" i="4"/>
  <c r="D50" i="4"/>
  <c r="C50" i="4"/>
  <c r="B50" i="4"/>
  <c r="A50" i="4"/>
  <c r="F49" i="4"/>
  <c r="E49" i="4"/>
  <c r="D49" i="4"/>
  <c r="C49" i="4"/>
  <c r="B49" i="4"/>
  <c r="A49" i="4"/>
  <c r="F48" i="4"/>
  <c r="E48" i="4"/>
  <c r="D48" i="4"/>
  <c r="C48" i="4"/>
  <c r="B48" i="4"/>
  <c r="A48" i="4"/>
  <c r="F47" i="4"/>
  <c r="E47" i="4"/>
  <c r="D47" i="4"/>
  <c r="C47" i="4"/>
  <c r="B47" i="4"/>
  <c r="A47" i="4"/>
  <c r="F46" i="4"/>
  <c r="E46" i="4"/>
  <c r="D46" i="4"/>
  <c r="C46" i="4"/>
  <c r="B46" i="4"/>
  <c r="A46" i="4"/>
  <c r="F45" i="4"/>
  <c r="E45" i="4"/>
  <c r="D45" i="4"/>
  <c r="C45" i="4"/>
  <c r="B45" i="4"/>
  <c r="A45" i="4"/>
  <c r="F44" i="4"/>
  <c r="E44" i="4"/>
  <c r="D44" i="4"/>
  <c r="C44" i="4"/>
  <c r="B44" i="4"/>
  <c r="A44" i="4"/>
  <c r="F43" i="4"/>
  <c r="E43" i="4"/>
  <c r="D43" i="4"/>
  <c r="C43" i="4"/>
  <c r="B43" i="4"/>
  <c r="A43" i="4"/>
  <c r="F42" i="4"/>
  <c r="E42" i="4"/>
  <c r="D42" i="4"/>
  <c r="C42" i="4"/>
  <c r="B42" i="4"/>
  <c r="A42" i="4"/>
  <c r="F41" i="4"/>
  <c r="E41" i="4"/>
  <c r="D41" i="4"/>
  <c r="C41" i="4"/>
  <c r="B41" i="4"/>
  <c r="A41" i="4"/>
  <c r="F40" i="4"/>
  <c r="E40" i="4"/>
  <c r="D40" i="4"/>
  <c r="C40" i="4"/>
  <c r="B40" i="4"/>
  <c r="A40" i="4"/>
  <c r="F39" i="4"/>
  <c r="E39" i="4"/>
  <c r="D39" i="4"/>
  <c r="C39" i="4"/>
  <c r="B39" i="4"/>
  <c r="A39" i="4"/>
  <c r="F38" i="4"/>
  <c r="E38" i="4"/>
  <c r="D38" i="4"/>
  <c r="C38" i="4"/>
  <c r="B38" i="4"/>
  <c r="A38" i="4"/>
  <c r="F37" i="4"/>
  <c r="E37" i="4"/>
  <c r="D37" i="4"/>
  <c r="C37" i="4"/>
  <c r="B37" i="4"/>
  <c r="A37" i="4"/>
  <c r="F36" i="4"/>
  <c r="E36" i="4"/>
  <c r="D36" i="4"/>
  <c r="C36" i="4"/>
  <c r="B36" i="4"/>
  <c r="A36" i="4"/>
  <c r="F35" i="4"/>
  <c r="E35" i="4"/>
  <c r="D35" i="4"/>
  <c r="C35" i="4"/>
  <c r="B35" i="4"/>
  <c r="A35" i="4"/>
  <c r="F34" i="4"/>
  <c r="E34" i="4"/>
  <c r="D34" i="4"/>
  <c r="C34" i="4"/>
  <c r="B34" i="4"/>
  <c r="A34" i="4"/>
  <c r="F33" i="4"/>
  <c r="E33" i="4"/>
  <c r="D33" i="4"/>
  <c r="C33" i="4"/>
  <c r="B33" i="4"/>
  <c r="A33" i="4"/>
  <c r="F32" i="4"/>
  <c r="E32" i="4"/>
  <c r="D32" i="4"/>
  <c r="C32" i="4"/>
  <c r="B32" i="4"/>
  <c r="A32" i="4"/>
  <c r="F31" i="4"/>
  <c r="E31" i="4"/>
  <c r="D31" i="4"/>
  <c r="C31" i="4"/>
  <c r="B31" i="4"/>
  <c r="A31" i="4"/>
  <c r="F30" i="4"/>
  <c r="E30" i="4"/>
  <c r="D30" i="4"/>
  <c r="C30" i="4"/>
  <c r="B30" i="4"/>
  <c r="A30" i="4"/>
  <c r="F29" i="4"/>
  <c r="E29" i="4"/>
  <c r="D29" i="4"/>
  <c r="C29" i="4"/>
  <c r="B29" i="4"/>
  <c r="A29" i="4"/>
  <c r="F28" i="4"/>
  <c r="E28" i="4"/>
  <c r="D28" i="4"/>
  <c r="C28" i="4"/>
  <c r="B28" i="4"/>
  <c r="A28" i="4"/>
  <c r="F27" i="4"/>
  <c r="E27" i="4"/>
  <c r="D27" i="4"/>
  <c r="C27" i="4"/>
  <c r="B27" i="4"/>
  <c r="A27" i="4"/>
  <c r="F26" i="4"/>
  <c r="E26" i="4"/>
  <c r="D26" i="4"/>
  <c r="C26" i="4"/>
  <c r="B26" i="4"/>
  <c r="A26" i="4"/>
  <c r="F25" i="4"/>
  <c r="E25" i="4"/>
  <c r="D25" i="4"/>
  <c r="C25" i="4"/>
  <c r="B25" i="4"/>
  <c r="A25" i="4"/>
  <c r="F24" i="4"/>
  <c r="E24" i="4"/>
  <c r="D24" i="4"/>
  <c r="C24" i="4"/>
  <c r="B24" i="4"/>
  <c r="A24" i="4"/>
  <c r="F23" i="4"/>
  <c r="E23" i="4"/>
  <c r="D23" i="4"/>
  <c r="C23" i="4"/>
  <c r="B23" i="4"/>
  <c r="A23" i="4"/>
  <c r="F22" i="4"/>
  <c r="E22" i="4"/>
  <c r="D22" i="4"/>
  <c r="C22" i="4"/>
  <c r="B22" i="4"/>
  <c r="A22" i="4"/>
  <c r="F21" i="4"/>
  <c r="E21" i="4"/>
  <c r="D21" i="4"/>
  <c r="C21" i="4"/>
  <c r="B21" i="4"/>
  <c r="A21" i="4"/>
  <c r="F20" i="4"/>
  <c r="E20" i="4"/>
  <c r="D20" i="4"/>
  <c r="C20" i="4"/>
  <c r="B20" i="4"/>
  <c r="A20" i="4"/>
  <c r="F19" i="4"/>
  <c r="E19" i="4"/>
  <c r="D19" i="4"/>
  <c r="C19" i="4"/>
  <c r="B19" i="4"/>
  <c r="A19" i="4"/>
  <c r="F18" i="4"/>
  <c r="E18" i="4"/>
  <c r="D18" i="4"/>
  <c r="C18" i="4"/>
  <c r="B18" i="4"/>
  <c r="A18" i="4"/>
  <c r="F17" i="4"/>
  <c r="E17" i="4"/>
  <c r="D17" i="4"/>
  <c r="C17" i="4"/>
  <c r="B17" i="4"/>
  <c r="A17" i="4"/>
  <c r="F16" i="4"/>
  <c r="E16" i="4"/>
  <c r="D16" i="4"/>
  <c r="C16" i="4"/>
  <c r="B16" i="4"/>
  <c r="A16" i="4"/>
  <c r="F15" i="4"/>
  <c r="E15" i="4"/>
  <c r="D15" i="4"/>
  <c r="C15" i="4"/>
  <c r="B15" i="4"/>
  <c r="A15" i="4"/>
  <c r="F14" i="4"/>
  <c r="E14" i="4"/>
  <c r="D14" i="4"/>
  <c r="C14" i="4"/>
  <c r="B14" i="4"/>
  <c r="A14" i="4"/>
  <c r="F13" i="4"/>
  <c r="E13" i="4"/>
  <c r="D13" i="4"/>
  <c r="C13" i="4"/>
  <c r="B13" i="4"/>
  <c r="A13" i="4"/>
  <c r="F12" i="4"/>
  <c r="E12" i="4"/>
  <c r="D12" i="4"/>
  <c r="C12" i="4"/>
  <c r="B12" i="4"/>
  <c r="A12" i="4"/>
  <c r="F11" i="4"/>
  <c r="E11" i="4"/>
  <c r="D11" i="4"/>
  <c r="C11" i="4"/>
  <c r="B11" i="4"/>
  <c r="A11" i="4"/>
  <c r="F10" i="4"/>
  <c r="E10" i="4"/>
  <c r="D10" i="4"/>
  <c r="C10" i="4"/>
  <c r="B10" i="4"/>
  <c r="A10" i="4"/>
  <c r="F9" i="4"/>
  <c r="E9" i="4"/>
  <c r="D9" i="4"/>
  <c r="C9" i="4"/>
  <c r="B9" i="4"/>
  <c r="A9" i="4"/>
  <c r="F8" i="4"/>
  <c r="E8" i="4"/>
  <c r="D8" i="4"/>
  <c r="C8" i="4"/>
  <c r="B8" i="4"/>
  <c r="A8" i="4"/>
  <c r="F7" i="4"/>
  <c r="E7" i="4"/>
  <c r="D7" i="4"/>
  <c r="C7" i="4"/>
  <c r="B7" i="4"/>
  <c r="A7" i="4"/>
  <c r="F6" i="4"/>
  <c r="E6" i="4"/>
  <c r="D6" i="4"/>
  <c r="C6" i="4"/>
  <c r="B6" i="4"/>
  <c r="A6" i="4"/>
  <c r="F5" i="4"/>
  <c r="E5" i="4"/>
  <c r="D5" i="4"/>
  <c r="C5" i="4"/>
  <c r="B5" i="4"/>
  <c r="A5" i="4"/>
  <c r="F4" i="4"/>
  <c r="E4" i="4"/>
  <c r="D4" i="4"/>
  <c r="C4" i="4"/>
  <c r="B4" i="4"/>
  <c r="A4" i="4"/>
  <c r="G27" i="2"/>
  <c r="F27" i="2"/>
  <c r="E27" i="2"/>
  <c r="D27" i="2"/>
  <c r="H27" i="2" s="1"/>
  <c r="G26" i="2"/>
  <c r="F26" i="2"/>
  <c r="E26" i="2"/>
  <c r="D26" i="2"/>
  <c r="H26" i="2" s="1"/>
  <c r="H25" i="2"/>
  <c r="G25" i="2"/>
  <c r="F25" i="2"/>
  <c r="E25" i="2"/>
  <c r="D25" i="2"/>
  <c r="G24" i="2"/>
  <c r="F24" i="2"/>
  <c r="E24" i="2"/>
  <c r="H24" i="2" s="1"/>
  <c r="D24" i="2"/>
  <c r="C18" i="2"/>
  <c r="C17" i="2"/>
  <c r="C12" i="2"/>
  <c r="C11" i="2"/>
  <c r="C19" i="2" s="1"/>
  <c r="C10" i="2"/>
  <c r="C9" i="2"/>
  <c r="C8" i="2"/>
  <c r="C16" i="2" s="1"/>
  <c r="C7" i="2"/>
</calcChain>
</file>

<file path=xl/sharedStrings.xml><?xml version="1.0" encoding="utf-8"?>
<sst xmlns="http://schemas.openxmlformats.org/spreadsheetml/2006/main" count="817" uniqueCount="575">
  <si>
    <t>National Cybersecurity Authority (NCA)</t>
  </si>
  <si>
    <t>Essential Cybersecurity Controls (ECC-2:2024)</t>
  </si>
  <si>
    <t>Compliance Assessment Tool</t>
  </si>
  <si>
    <t>Entity Name:</t>
  </si>
  <si>
    <t>Assessor Name:</t>
  </si>
  <si>
    <t>Assessment Date:</t>
  </si>
  <si>
    <t>Assessment Scope:</t>
  </si>
  <si>
    <t>Full ECC-2:2024 Compliance Assessment</t>
  </si>
  <si>
    <t>Framework Version:</t>
  </si>
  <si>
    <t>ECC-2:2024</t>
  </si>
  <si>
    <t>Domains:</t>
  </si>
  <si>
    <t>4 Main Domains</t>
  </si>
  <si>
    <t>Subdomains:</t>
  </si>
  <si>
    <t>28 Subdomains</t>
  </si>
  <si>
    <t>Total Controls:</t>
  </si>
  <si>
    <t>108 Main Controls</t>
  </si>
  <si>
    <t>Status Legend</t>
  </si>
  <si>
    <t>Compliant</t>
  </si>
  <si>
    <t>Control is fully implemented</t>
  </si>
  <si>
    <t>Partially Compliant</t>
  </si>
  <si>
    <t>Control is partially implemented</t>
  </si>
  <si>
    <t>Non-Compliant</t>
  </si>
  <si>
    <t>Control is not implemented</t>
  </si>
  <si>
    <t>Not Applicable</t>
  </si>
  <si>
    <t>Control does not apply</t>
  </si>
  <si>
    <t>ECC-2:2024 Compliance Dashboard</t>
  </si>
  <si>
    <t>Overall Summary</t>
  </si>
  <si>
    <t>Metric</t>
  </si>
  <si>
    <t>Value</t>
  </si>
  <si>
    <t>Total Controls</t>
  </si>
  <si>
    <t>108</t>
  </si>
  <si>
    <t>Assessed</t>
  </si>
  <si>
    <t>Compliance Rate</t>
  </si>
  <si>
    <t>Status</t>
  </si>
  <si>
    <t>Count</t>
  </si>
  <si>
    <t>Domain Compliance Breakdown</t>
  </si>
  <si>
    <t>Domain</t>
  </si>
  <si>
    <t>Total</t>
  </si>
  <si>
    <t>Partial</t>
  </si>
  <si>
    <t>Non-Comp.</t>
  </si>
  <si>
    <t>N/A</t>
  </si>
  <si>
    <t>Compliance %</t>
  </si>
  <si>
    <t>Cybersecurity Governance</t>
  </si>
  <si>
    <t>Cybersecurity Defense</t>
  </si>
  <si>
    <t>Cybersecurity Resilience</t>
  </si>
  <si>
    <t>Third-Party &amp; Cloud Cybersecurity</t>
  </si>
  <si>
    <t>NCA ECC-2:2024 — Compliance Assessment Worksheet</t>
  </si>
  <si>
    <t>Select status from dropdown: Compliant, Partially Compliant, Non-Compliant, or Not Applicable. Use Domain column filter to focus on specific domains.</t>
  </si>
  <si>
    <t>Control ID</t>
  </si>
  <si>
    <t>Subdomain</t>
  </si>
  <si>
    <t>Control</t>
  </si>
  <si>
    <t>Detailed Description (ECC Framework)</t>
  </si>
  <si>
    <t>Evidence / Artifacts</t>
  </si>
  <si>
    <t>Assessment Notes</t>
  </si>
  <si>
    <t>Remediation Action</t>
  </si>
  <si>
    <t xml:space="preserve">  DOMAIN 1: CYBERSECURITY GOVERNANCE</t>
  </si>
  <si>
    <t xml:space="preserve">    1-1  Cybersecurity Strategy  —  Ensure action plans, objectives, initiatives, and projects contribute to compliance with relevant legislative and regulatory requirements.</t>
  </si>
  <si>
    <t>Domain 1: Cybersecurity Governance</t>
  </si>
  <si>
    <t>1-1-1</t>
  </si>
  <si>
    <t>1-1 Cybersecurity Strategy</t>
  </si>
  <si>
    <t>Cybersecurity strategy identified, documented, approved, and supported by entity head.</t>
  </si>
  <si>
    <t>The cybersecurity strategy of the entity shall be identified, documented, and approved, and it shall be supported by the head of the entity or his/her delegate (Authorized Official). The strategy goals shall be in line with the relevant legislative and regulatory requirements.</t>
  </si>
  <si>
    <t>1-1-2</t>
  </si>
  <si>
    <t>Action plan to apply the cybersecurity strategy is executed.</t>
  </si>
  <si>
    <t>The entity shall execute an action plan to apply the cybersecurity strategy.</t>
  </si>
  <si>
    <t>1-1-3</t>
  </si>
  <si>
    <t>Cybersecurity strategy reviewed at planned intervals.</t>
  </si>
  <si>
    <t>The cybersecurity strategy shall be reviewed at planned intervals (or in case of changes to the relevant legislative and regulatory requirements).</t>
  </si>
  <si>
    <t xml:space="preserve">    1-2  Cybersecurity Management  —  Ensure the Authorized Official complies with and supports implementation and management of cybersecurity programs.</t>
  </si>
  <si>
    <t>1-2-1</t>
  </si>
  <si>
    <t>1-2 Cybersecurity Management</t>
  </si>
  <si>
    <t>Independent cybersecurity department established, separate from IT.</t>
  </si>
  <si>
    <t>A department for cybersecurity shall be established within the entity. This department shall be independent from the IT and Communications Department (as per High Order No. 37140).</t>
  </si>
  <si>
    <t>1-2-2</t>
  </si>
  <si>
    <t>All cybersecurity positions filled with qualified Saudi professionals.</t>
  </si>
  <si>
    <t>All cybersecurity positions shall be filled out with full-time and qualified Saudi cybersecurity professionals.</t>
  </si>
  <si>
    <t>1-2-3</t>
  </si>
  <si>
    <t>Cybersecurity supervisory committee established.</t>
  </si>
  <si>
    <t>A cybersecurity supervisory committee shall be established pursuant to the instruction of the entity's Authorized Official to ensure compliance with, support for, and monitoring of the implementation of cybersecurity programs and regulations.</t>
  </si>
  <si>
    <t xml:space="preserve">    1-3  Cybersecurity Policies and Procedures  —  Ensure cybersecurity requirements and compliance are documented and communicated.</t>
  </si>
  <si>
    <t>1-3-1</t>
  </si>
  <si>
    <t>1-3 Cybersecurity Policies and Procedures</t>
  </si>
  <si>
    <t>Policies and procedures documented, approved, and communicated.</t>
  </si>
  <si>
    <t>The cybersecurity department shall identify and document cybersecurity policies and procedures, including controls and requirements, have them approved by the Authorized Official, and communicate them to relevant personnel and parties.</t>
  </si>
  <si>
    <t>1-3-2</t>
  </si>
  <si>
    <t>Policies and procedures implemented at the entity.</t>
  </si>
  <si>
    <t>The cybersecurity department shall ensure that the cybersecurity policies and procedures, including relevant controls and requirements, are implemented at the entity.</t>
  </si>
  <si>
    <t>1-3-3</t>
  </si>
  <si>
    <t>Policies supported by technical security standards.</t>
  </si>
  <si>
    <t>The cybersecurity policies and procedures shall be supported by technical security standards (e.g. technical security standards for firewall, databases, operating systems, etc.).</t>
  </si>
  <si>
    <t>1-3-4</t>
  </si>
  <si>
    <t>Policies reviewed and updated at planned intervals.</t>
  </si>
  <si>
    <t>The cybersecurity policies and procedures shall be reviewed and updated at planned intervals (or in case of changes to the relevant legislative and regulatory requirements and standards). Changes shall be documented and approved.</t>
  </si>
  <si>
    <t xml:space="preserve">    1-4  Cybersecurity Roles and Responsibilities  —  Ensure roles and responsibilities are clearly defined for all parties implementing cybersecurity controls.</t>
  </si>
  <si>
    <t>1-4-1</t>
  </si>
  <si>
    <t>1-4 Cybersecurity Roles and Responsibilities</t>
  </si>
  <si>
    <t>Governance structure, roles, and responsibilities documented and assigned.</t>
  </si>
  <si>
    <t>The Authorized Official shall identify, document, and approve the governance organizational structure, roles, and responsibilities of the entity's cybersecurity, and assign the persons concerned therewith.</t>
  </si>
  <si>
    <t>1-4-2</t>
  </si>
  <si>
    <t>Roles and responsibilities reviewed at planned intervals.</t>
  </si>
  <si>
    <t>The cybersecurity roles and responsibilities within the entity shall be reviewed and updated at planned intervals (or in case of changes to the relevant legislative and regulatory requirements).</t>
  </si>
  <si>
    <t xml:space="preserve">    1-5  Cybersecurity Risk Management  —  Manage cybersecurity risks methodologically to protect information and technology assets.</t>
  </si>
  <si>
    <t>1-5-1</t>
  </si>
  <si>
    <t>1-5 Cybersecurity Risk Management</t>
  </si>
  <si>
    <t>Risk management methodology documented and approved.</t>
  </si>
  <si>
    <t>The cybersecurity department shall identify, document, and approve the cybersecurity risk management methodology and procedures, in accordance with confidentiality, integrity and availability of information and technology assets.</t>
  </si>
  <si>
    <t>1-5-2</t>
  </si>
  <si>
    <t>Risk management methodology implemented.</t>
  </si>
  <si>
    <t>The cybersecurity department shall implement the cybersecurity risk management methodology and procedures within the entity.</t>
  </si>
  <si>
    <t>1-5-3</t>
  </si>
  <si>
    <t>Risk assessments conducted at key stages.</t>
  </si>
  <si>
    <t>Risk assessment procedures shall be implemented at: (1) early stage of technology projects, (2) before major changes to technology infrastructure, (3) during planning to obtain third party services, (4) during planning and before release of new technology services and products.</t>
  </si>
  <si>
    <t>1-5-4</t>
  </si>
  <si>
    <t>Risk management methodology reviewed and updated.</t>
  </si>
  <si>
    <t>The methodology and procedures shall be reviewed and updated at planned intervals (or in case of changes to legislative/regulatory requirements). Changes shall be documented and approved.</t>
  </si>
  <si>
    <t xml:space="preserve">    1-6  Cybersecurity in IT Project Management  —  Ensure cybersecurity requirements are included in project management methodology to protect assets.</t>
  </si>
  <si>
    <t>1-6-1</t>
  </si>
  <si>
    <t>1-6 Cybersecurity in IT Project Management</t>
  </si>
  <si>
    <t>Cybersecurity included in project and change management.</t>
  </si>
  <si>
    <t>Cybersecurity requirements shall be included in the project management methodology and procedures and in information and technology asset change management.</t>
  </si>
  <si>
    <t>1-6-2</t>
  </si>
  <si>
    <t>Vulnerability assessment and secure config review before launch.</t>
  </si>
  <si>
    <t>Requirements shall include: (1) vulnerability assessment and remediation, (2) reviewing secure configuration, hardening, and update packages before launching projects and changes.</t>
  </si>
  <si>
    <t>1-6-3</t>
  </si>
  <si>
    <t>Secure software development requirements.</t>
  </si>
  <si>
    <t>Software development requirements shall include: (1) secure coding standards, (2) trusted and licensed sources for development tools and libraries, (3) compliance testing against cybersecurity requirements, (4) secure integration between applications, (5) secure configuration review before launching software products.</t>
  </si>
  <si>
    <t>1-6-4</t>
  </si>
  <si>
    <t>Project management cybersecurity requirements reviewed.</t>
  </si>
  <si>
    <t>The cybersecurity requirements for project management within the entity shall be periodically reviewed.</t>
  </si>
  <si>
    <t xml:space="preserve">    1-7  Compliance with Standards, Laws &amp; Regulations  —  Ensure the entity's cybersecurity program complies with relevant legislative and regulatory requirements.</t>
  </si>
  <si>
    <t>1-7-1</t>
  </si>
  <si>
    <t>1-7 Compliance with Standards, Laws &amp; Regulations</t>
  </si>
  <si>
    <t>Comply with international agreements including cybersecurity.</t>
  </si>
  <si>
    <t>If there are nationally approved international agreements or commitments that include cybersecurity requirements, the entity shall identify and comply with these requirements.</t>
  </si>
  <si>
    <t xml:space="preserve">    1-8  Periodical Review and Audit  —  Ensure cybersecurity controls are implemented and applicable in accordance with policies and requirements.</t>
  </si>
  <si>
    <t>1-8-1</t>
  </si>
  <si>
    <t>1-8 Periodical Review and Audit</t>
  </si>
  <si>
    <t>Cybersecurity department periodically reviews controls.</t>
  </si>
  <si>
    <t>The cybersecurity department of the entity shall periodically review the implementation of cybersecurity controls by the entity.</t>
  </si>
  <si>
    <t>1-8-2</t>
  </si>
  <si>
    <t>Independent audit of controls (GAAS compliant).</t>
  </si>
  <si>
    <t>The implementation of cybersecurity controls shall be reviewed and audited by parties other than the cybersecurity department, conducted independently while considering conflict of interest, as per Generally Accepted Auditing Standards (GAAS).</t>
  </si>
  <si>
    <t>1-8-3</t>
  </si>
  <si>
    <t>Audit results documented and presented.</t>
  </si>
  <si>
    <t>The results of cybersecurity audits and reviews shall be documented and presented to the cybersecurity supervisory committee and the Authorized Official.</t>
  </si>
  <si>
    <t xml:space="preserve">    1-9  Cybersecurity in Human Resources  —  Manage cybersecurity risks for personnel prior to, during, and upon end/termination of employment.</t>
  </si>
  <si>
    <t>1-9-1</t>
  </si>
  <si>
    <t>1-9 Cybersecurity in Human Resources</t>
  </si>
  <si>
    <t>Personnel requirements identified and approved.</t>
  </si>
  <si>
    <t>Cybersecurity requirements for personnel of the entity shall be identified, documented, and approved prior to, during, and upon the end or termination of their employment.</t>
  </si>
  <si>
    <t>1-9-2</t>
  </si>
  <si>
    <t>Personnel cybersecurity requirements implemented.</t>
  </si>
  <si>
    <t>Cybersecurity requirements for personnel of the entity shall be implemented.</t>
  </si>
  <si>
    <t>1-9-3</t>
  </si>
  <si>
    <t>Pre-employment screening and contract clauses.</t>
  </si>
  <si>
    <t>Pre-employment requirements include: (1) incorporating cybersecurity responsibilities and non-disclosure clauses in employment contracts, (2) conducting screening or vetting for personnel in cybersecurity and critical positions.</t>
  </si>
  <si>
    <t>1-9-4</t>
  </si>
  <si>
    <t>Awareness and compliance during employment.</t>
  </si>
  <si>
    <t>During employment requirements include: (1) cybersecurity awareness (during on-boarding and during employment), (2) implementation and compliance with cybersecurity requirements per entity's policies.</t>
  </si>
  <si>
    <t>1-9-5</t>
  </si>
  <si>
    <t>Powers revoked upon employment end.</t>
  </si>
  <si>
    <t>The personnel's powers shall be reviewed and revoked immediately upon the end/termination of their employment with the entity.</t>
  </si>
  <si>
    <t>1-9-6</t>
  </si>
  <si>
    <t>Personnel requirements periodically reviewed.</t>
  </si>
  <si>
    <t>Cybersecurity requirements for personnel of the entity shall be periodically reviewed.</t>
  </si>
  <si>
    <t xml:space="preserve">    1-10  Cybersecurity Awareness &amp; Training  —  Ensure personnel have required awareness, skills, qualifications, and training to protect assets.</t>
  </si>
  <si>
    <t>1-10-1</t>
  </si>
  <si>
    <t>1-10 Cybersecurity Awareness &amp; Training</t>
  </si>
  <si>
    <t>Awareness program developed and approved.</t>
  </si>
  <si>
    <t>A cybersecurity awareness program, delivered through multiple channels, shall be periodically developed and approved to strengthen awareness about cybersecurity, cyber threats, and risks.</t>
  </si>
  <si>
    <t>1-10-2</t>
  </si>
  <si>
    <t>Awareness program implemented.</t>
  </si>
  <si>
    <t>The approved cybersecurity awareness program shall be implemented within the entity.</t>
  </si>
  <si>
    <t>1-10-3</t>
  </si>
  <si>
    <t>Program covers key cyber threats.</t>
  </si>
  <si>
    <t>The program shall cover: (1) secure handling of email services, especially phishing emails, (2) secure handling of mobile devices and storage media, (3) secure Internet browsing, (4) secure usage of social media.</t>
  </si>
  <si>
    <t>1-10-4</t>
  </si>
  <si>
    <t>Specialized training for cybersecurity personnel.</t>
  </si>
  <si>
    <t>Specialized skills and training shall be provided to personnel in positions directly linked to cybersecurity, classified by their responsibilities.</t>
  </si>
  <si>
    <t>1-10-5</t>
  </si>
  <si>
    <t>Awareness program implementation reviewed.</t>
  </si>
  <si>
    <t>The implementation of cybersecurity awareness program within the entity shall be periodically reviewed.</t>
  </si>
  <si>
    <t xml:space="preserve">  DOMAIN 2: CYBERSECURITY DEFENSE</t>
  </si>
  <si>
    <t xml:space="preserve">    2-1  Asset Management  —  Ensure an accurate and updated inventory of all information and technology assets.</t>
  </si>
  <si>
    <t>Domain 2: Cybersecurity Defense</t>
  </si>
  <si>
    <t>2-1-1</t>
  </si>
  <si>
    <t>2-1 Asset Management</t>
  </si>
  <si>
    <t>Asset management requirements identified and approved.</t>
  </si>
  <si>
    <t>Cybersecurity requirements for managing information and technology assets shall be identified, documented, and approved.</t>
  </si>
  <si>
    <t>2-1-2</t>
  </si>
  <si>
    <t>Asset management requirements implemented.</t>
  </si>
  <si>
    <t>Cybersecurity requirements for managing information and technology assets shall be implemented.</t>
  </si>
  <si>
    <t>2-1-3</t>
  </si>
  <si>
    <t>Acceptable use policy documented and communicated.</t>
  </si>
  <si>
    <t>The policy of acceptable use of information and technology assets shall be identified, documented, approved, and communicated.</t>
  </si>
  <si>
    <t>2-1-4</t>
  </si>
  <si>
    <t>Acceptable use policy implemented.</t>
  </si>
  <si>
    <t>The policy of acceptable use of information and technology assets shall be implemented.</t>
  </si>
  <si>
    <t>2-1-5</t>
  </si>
  <si>
    <t>Assets classified, labeled, and handled.</t>
  </si>
  <si>
    <t>Information and technology assets shall be classified, labeled, and handled as per the relevant legislative and regulatory requirements.</t>
  </si>
  <si>
    <t>2-1-6</t>
  </si>
  <si>
    <t>Asset management requirements reviewed.</t>
  </si>
  <si>
    <t>Cybersecurity requirements for managing information and technology assets shall be periodically reviewed.</t>
  </si>
  <si>
    <t xml:space="preserve">    2-2  Identity and Access Management  —  Protect logical access to assets, prevent unauthorized access, and restrict access to necessary scope.</t>
  </si>
  <si>
    <t>2-2-1</t>
  </si>
  <si>
    <t>2-2 Identity and Access Management</t>
  </si>
  <si>
    <t>IAM requirements identified and approved.</t>
  </si>
  <si>
    <t>Cybersecurity requirements for identity and access management shall be identified, documented, and approved.</t>
  </si>
  <si>
    <t>2-2-2</t>
  </si>
  <si>
    <t>IAM requirements implemented.</t>
  </si>
  <si>
    <t>Cybersecurity requirements for identity and access management shall be implemented.</t>
  </si>
  <si>
    <t>2-2-3</t>
  </si>
  <si>
    <t>IAM controls include MFA, least privilege, PAM.</t>
  </si>
  <si>
    <t>Requirements include: (1) single-factor authentication, (2) MFA based on impact assessment for remote/privileged access, (3) user authorization based on Need-to-Know, Least Privilege, and Segregation of Duties, (4) privileged access management, (5) periodic review of identities and access rights.</t>
  </si>
  <si>
    <t>2-2-4</t>
  </si>
  <si>
    <t>IAM implementation reviewed.</t>
  </si>
  <si>
    <t>The implementation of IAM requirements shall be periodically reviewed.</t>
  </si>
  <si>
    <t xml:space="preserve">    2-3  Information Systems &amp; Facilities Protection  —  Protect information systems and processing facilities against cyber risks.</t>
  </si>
  <si>
    <t>2-3-1</t>
  </si>
  <si>
    <t>2-3 Information Systems &amp; Facilities Protection</t>
  </si>
  <si>
    <t>System protection requirements identified and approved.</t>
  </si>
  <si>
    <t>Cybersecurity requirements for protection of information systems and processing facilities shall be identified, documented, and approved.</t>
  </si>
  <si>
    <t>2-3-2</t>
  </si>
  <si>
    <t>System protection requirements implemented.</t>
  </si>
  <si>
    <t>Cybersecurity requirements for protection of information systems and processing facilities shall be implemented.</t>
  </si>
  <si>
    <t>2-3-3</t>
  </si>
  <si>
    <t>Malware defense, patch management, clock sync.</t>
  </si>
  <si>
    <t>Requirements include: (1) protection from viruses, suspicious programs and malware using modern technologies, (2) strict restriction on external storage media use, (3) patch management for systems, applications, and devices, (4) centralized clock synchronization with accurate source.</t>
  </si>
  <si>
    <t>2-3-4</t>
  </si>
  <si>
    <t>System protection reviewed.</t>
  </si>
  <si>
    <t>The implementation shall be periodically reviewed.</t>
  </si>
  <si>
    <t xml:space="preserve">    2-4  Email Protection  —  Protect the entity's email service against cyber risks.</t>
  </si>
  <si>
    <t>2-4-1</t>
  </si>
  <si>
    <t>2-4 Email Protection</t>
  </si>
  <si>
    <t>Email protection requirements identified and approved.</t>
  </si>
  <si>
    <t>Cybersecurity requirements for email protection shall be identified, documented, and approved.</t>
  </si>
  <si>
    <t>2-4-2</t>
  </si>
  <si>
    <t>Email protection requirements implemented.</t>
  </si>
  <si>
    <t>Cybersecurity requirements for email protection shall be implemented.</t>
  </si>
  <si>
    <t>2-4-3</t>
  </si>
  <si>
    <t>Anti-phishing, MFA, APT, SPF/DKIM/DMARC.</t>
  </si>
  <si>
    <t>Requirements include: (1) analyzing and filtering email messages using advanced protection, (2) MFA based on impact assessment for remote/webmail access, (3) email archiving and backup, (4) APT protection against zero-day malware, (5) domain validation using SPF, DKIM, and DMARC.</t>
  </si>
  <si>
    <t>2-4-4</t>
  </si>
  <si>
    <t>Email protection reviewed.</t>
  </si>
  <si>
    <t xml:space="preserve">    2-5  Network Security Management  —  Protect entity's networks against cyber risks.</t>
  </si>
  <si>
    <t>2-5-1</t>
  </si>
  <si>
    <t>2-5 Network Security Management</t>
  </si>
  <si>
    <t>Network security requirements identified and approved.</t>
  </si>
  <si>
    <t>Cybersecurity requirements for network security management shall be identified, documented, and approved.</t>
  </si>
  <si>
    <t>2-5-2</t>
  </si>
  <si>
    <t>Network security requirements implemented.</t>
  </si>
  <si>
    <t>Cybersecurity requirements for network security management shall be implemented.</t>
  </si>
  <si>
    <t>2-5-3</t>
  </si>
  <si>
    <t>Segmentation, IPS, DNS, DDoS, APT protection.</t>
  </si>
  <si>
    <t>Requirements include: (1) logical/physical isolation using firewall and defense-in-depth, (2) production/test/dev isolation, (3) secure browsing and internet connectivity, (4) wireless network security, (5) restricting network services/protocols/ports, (6) IPS, (7) DNS security, (8) APT protection, (9) DDoS protection.</t>
  </si>
  <si>
    <t>2-5-4</t>
  </si>
  <si>
    <t>Network security reviewed.</t>
  </si>
  <si>
    <t xml:space="preserve">    2-6  Mobile Devices Security  —  Protect mobile devices and ensure secure handling of entity information on BYOD.</t>
  </si>
  <si>
    <t>2-6-1</t>
  </si>
  <si>
    <t>2-6 Mobile Devices Security</t>
  </si>
  <si>
    <t>Mobile/BYOD requirements identified and approved.</t>
  </si>
  <si>
    <t>Cybersecurity requirements for mobile devices and BYOD security shall be identified, documented, and approved.</t>
  </si>
  <si>
    <t>2-6-2</t>
  </si>
  <si>
    <t>Mobile/BYOD requirements implemented.</t>
  </si>
  <si>
    <t>Cybersecurity requirements for mobile devices and BYOD security shall be implemented.</t>
  </si>
  <si>
    <t>2-6-3</t>
  </si>
  <si>
    <t>Encryption, restricted use, remote wipe.</t>
  </si>
  <si>
    <t>Requirements include: (1) separation and encryption of entity data on mobile/BYOD, (2) controlled and restricted use based on business requirements, (3) deletion of entity data on device loss or employment end, (4) security awareness for users.</t>
  </si>
  <si>
    <t>2-6-4</t>
  </si>
  <si>
    <t>Mobile/BYOD security reviewed.</t>
  </si>
  <si>
    <t xml:space="preserve">    2-7  Data and Information Protection  —  Ensure confidentiality, integrity, accuracy, and availability of entity data.</t>
  </si>
  <si>
    <t>2-7-1</t>
  </si>
  <si>
    <t>2-7 Data and Information Protection</t>
  </si>
  <si>
    <t>Data protection requirements identified and approved.</t>
  </si>
  <si>
    <t>Cybersecurity requirements for protecting and handling data and information shall be identified, documented, and approved per legislative requirements.</t>
  </si>
  <si>
    <t>2-7-2</t>
  </si>
  <si>
    <t>Data protection implemented based on classification.</t>
  </si>
  <si>
    <t>Cybersecurity requirements for protecting data and information shall be implemented based on classification level.</t>
  </si>
  <si>
    <t>2-7-3</t>
  </si>
  <si>
    <t>Data protection reviewed.</t>
  </si>
  <si>
    <t xml:space="preserve">    2-8  Cryptography  —  Ensure proper and efficient use of cryptography to protect electronic information assets.</t>
  </si>
  <si>
    <t>2-8-1</t>
  </si>
  <si>
    <t>2-8 Cryptography</t>
  </si>
  <si>
    <t>Cryptography requirements identified and approved.</t>
  </si>
  <si>
    <t>Cybersecurity requirements for cryptography shall be identified, documented, and approved.</t>
  </si>
  <si>
    <t>2-8-2</t>
  </si>
  <si>
    <t>Cryptography requirements implemented.</t>
  </si>
  <si>
    <t>Cybersecurity requirements for cryptography shall be implemented.</t>
  </si>
  <si>
    <t>2-8-3</t>
  </si>
  <si>
    <t>NCA Cryptographic Standards, key management, encryption.</t>
  </si>
  <si>
    <t>Requirements include at least the NCA National Cryptographic Standards: (1) approved cryptographic systems and solutions standards, (2) secure management of cryptographic keys during their lifecycles, (3) encryption of data in-transit and at-rest per classification and legislative requirements.</t>
  </si>
  <si>
    <t>2-8-4</t>
  </si>
  <si>
    <t>Cryptography implementation reviewed.</t>
  </si>
  <si>
    <t xml:space="preserve">    2-9  Backup and Recovery Management  —  Protect entity data, information, and technical configurations against cyber risks.</t>
  </si>
  <si>
    <t>2-9-1</t>
  </si>
  <si>
    <t>2-9 Backup and Recovery Management</t>
  </si>
  <si>
    <t>Backup/recovery requirements identified and approved.</t>
  </si>
  <si>
    <t>Cybersecurity requirements for backup and recovery management shall be identified, documented, and approved.</t>
  </si>
  <si>
    <t>2-9-2</t>
  </si>
  <si>
    <t>Backup/recovery requirements implemented.</t>
  </si>
  <si>
    <t>Cybersecurity requirements for backup and recovery management shall be implemented.</t>
  </si>
  <si>
    <t>2-9-3</t>
  </si>
  <si>
    <t>Critical asset coverage, quick recovery, periodic testing.</t>
  </si>
  <si>
    <t>Requirements include: (1) scope of backups to cover critical technology and information assets, (2) ability to perform quick recovery after cybersecurity incidents, (3) periodic testing for backup recovery effectiveness.</t>
  </si>
  <si>
    <t>2-9-4</t>
  </si>
  <si>
    <t>Backup/recovery reviewed.</t>
  </si>
  <si>
    <t xml:space="preserve">    2-10  Vulnerability Management  —  Ensure timely detection and effective remediation of technical vulnerabilities.</t>
  </si>
  <si>
    <t>2-10-1</t>
  </si>
  <si>
    <t>2-10 Vulnerability Management</t>
  </si>
  <si>
    <t>Vulnerability management requirements identified and approved.</t>
  </si>
  <si>
    <t>Cybersecurity requirements for technical vulnerabilities management shall be identified, documented, and approved.</t>
  </si>
  <si>
    <t>2-10-2</t>
  </si>
  <si>
    <t>Vulnerability management requirements implemented.</t>
  </si>
  <si>
    <t>Cybersecurity requirements for technical vulnerabilities management shall be implemented.</t>
  </si>
  <si>
    <t>2-10-3</t>
  </si>
  <si>
    <t>Periodic assessment, classification, remediation, patching.</t>
  </si>
  <si>
    <t>Requirements include: (1) periodic vulnerabilities assessment and detection, (2) classification based on severity, (3) remediation based on classification and associated risks, (4) patch management with integrity/effectiveness verification in non-production environment, (5) communication and subscription with trusted vulnerability resources.</t>
  </si>
  <si>
    <t>2-10-4</t>
  </si>
  <si>
    <t>Vulnerability management reviewed.</t>
  </si>
  <si>
    <t xml:space="preserve">    2-11  Penetration Testing  —  Assess cybersecurity defense capabilities through simulated attacks to discover unknown weaknesses.</t>
  </si>
  <si>
    <t>2-11-1</t>
  </si>
  <si>
    <t>2-11 Penetration Testing</t>
  </si>
  <si>
    <t>Penetration testing requirements identified and approved.</t>
  </si>
  <si>
    <t>Cybersecurity requirements for penetration testing shall be identified, documented, and approved.</t>
  </si>
  <si>
    <t>2-11-2</t>
  </si>
  <si>
    <t>Penetration testing requirements implemented.</t>
  </si>
  <si>
    <t>Cybersecurity requirements for penetration testing shall be implemented.</t>
  </si>
  <si>
    <t>2-11-3</t>
  </si>
  <si>
    <t>All external services tested periodically.</t>
  </si>
  <si>
    <t>Requirements include: (1) scope covering all externally provided services and their technical components including infrastructure, websites, web applications, mobile apps, email, and remote access, (2) conducting penetration tests periodically.</t>
  </si>
  <si>
    <t>2-11-4</t>
  </si>
  <si>
    <t>Penetration testing reviewed.</t>
  </si>
  <si>
    <t xml:space="preserve">    2-12  Event Logs and Monitoring  —  Ensure timely collection, analysis, and monitoring of cybersecurity event logs.</t>
  </si>
  <si>
    <t>2-12-1</t>
  </si>
  <si>
    <t>2-12 Event Logs and Monitoring</t>
  </si>
  <si>
    <t>Event log/monitoring requirements identified and approved.</t>
  </si>
  <si>
    <t>Cybersecurity requirements for event logs and monitoring management shall be identified, documented, and approved.</t>
  </si>
  <si>
    <t>2-12-2</t>
  </si>
  <si>
    <t>Event log/monitoring requirements implemented.</t>
  </si>
  <si>
    <t>Cybersecurity requirements for event logs and monitoring management shall be implemented.</t>
  </si>
  <si>
    <t>2-12-3</t>
  </si>
  <si>
    <t>SIEM, critical asset logs, 12-month retention.</t>
  </si>
  <si>
    <t>Requirements include: (1) activation of logs for critical information assets, (2) activation of logs for critical/privileged accounts and remote access events, (3) identification of SIEM techniques, (4) continuous monitoring, (5) retention period of at least 12 months.</t>
  </si>
  <si>
    <t>2-12-4</t>
  </si>
  <si>
    <t>Event log/monitoring reviewed.</t>
  </si>
  <si>
    <t xml:space="preserve">    2-13  Incident and Threat Management  —  Ensure timely identification, detection, and management of cybersecurity incidents and threats.</t>
  </si>
  <si>
    <t>2-13-1</t>
  </si>
  <si>
    <t>2-13 Incident and Threat Management</t>
  </si>
  <si>
    <t>Incident/threat management requirements identified and approved.</t>
  </si>
  <si>
    <t>Requirements for cybersecurity incident and threat management shall be identified, documented, and approved.</t>
  </si>
  <si>
    <t>2-13-2</t>
  </si>
  <si>
    <t>Incident/threat management requirements implemented.</t>
  </si>
  <si>
    <t>Requirements for cybersecurity incident and threat management shall be implemented.</t>
  </si>
  <si>
    <t>2-13-3</t>
  </si>
  <si>
    <t>Response plans, NCA reporting, threat intelligence.</t>
  </si>
  <si>
    <t>Requirements include: (1) incident response plans and escalation procedures, (2) incident classification, (3) reporting incidents to the NCA, (4) sharing incident notifications, threat intelligence, penetration indicators, and incident reports with the NCA, (5) collecting and handling threat intelligence feeds.</t>
  </si>
  <si>
    <t>2-13-4</t>
  </si>
  <si>
    <t>Incident/threat management reviewed.</t>
  </si>
  <si>
    <t xml:space="preserve">    2-14  Physical Security  —  Protect information and technology assets against unauthorized physical access, loss, theft, and damage.</t>
  </si>
  <si>
    <t>2-14-1</t>
  </si>
  <si>
    <t>2-14 Physical Security</t>
  </si>
  <si>
    <t>Physical security requirements identified and approved.</t>
  </si>
  <si>
    <t>Cybersecurity requirements for protection against unauthorized physical access, loss, theft, and damage shall be identified, documented, and approved.</t>
  </si>
  <si>
    <t>2-14-2</t>
  </si>
  <si>
    <t>Physical security requirements implemented.</t>
  </si>
  <si>
    <t>Cybersecurity requirements for physical security shall be implemented.</t>
  </si>
  <si>
    <t>2-14-3</t>
  </si>
  <si>
    <t>Critical area access, CCTV, secure destruction.</t>
  </si>
  <si>
    <t>Requirements include: (1) authorized access to critical areas (data center, DR center, processing facilities, network rooms, etc.), (2) access and monitoring logs (CCTV), (3) protection of log information, (4) secure destruction and re-use of physical assets holding classified information, (5) security of devices inside/outside entity's facilities.</t>
  </si>
  <si>
    <t>2-14-4</t>
  </si>
  <si>
    <t>Physical security reviewed.</t>
  </si>
  <si>
    <t xml:space="preserve">    2-15  Web Application Security  —  Protect external web applications against cyber risks.</t>
  </si>
  <si>
    <t>2-15-1</t>
  </si>
  <si>
    <t>2-15 Web Application Security</t>
  </si>
  <si>
    <t>Web application security requirements identified and approved.</t>
  </si>
  <si>
    <t>Cybersecurity requirements for protection of external web applications shall be identified, documented, and approved.</t>
  </si>
  <si>
    <t>2-15-2</t>
  </si>
  <si>
    <t>Web application security requirements implemented.</t>
  </si>
  <si>
    <t>Cybersecurity requirements for protection of external web applications shall be implemented.</t>
  </si>
  <si>
    <t>2-15-3</t>
  </si>
  <si>
    <t>WAF, multi-tier, HTTPS, user authentication.</t>
  </si>
  <si>
    <t>Requirements include: (1) use of web application firewall, (2) adoption of multi-tier architecture principle, (3) use of secure protocols (e.g. HTTPS), (4) clarification of secure usage policy for users, (5) user authentication with suitable factors defined based on impact assessment.</t>
  </si>
  <si>
    <t>2-15-4</t>
  </si>
  <si>
    <t>Web application security reviewed.</t>
  </si>
  <si>
    <t xml:space="preserve">  DOMAIN 3: CYBERSECURITY RESILIENCE</t>
  </si>
  <si>
    <t xml:space="preserve">    3-1  BCM Cybersecurity Resilience  —  Ensure cybersecurity resilience requirements are included in business continuity management.</t>
  </si>
  <si>
    <t>Domain 3: Cybersecurity Resilience</t>
  </si>
  <si>
    <t>3-1-1</t>
  </si>
  <si>
    <t>3-1 BCM Cybersecurity Resilience</t>
  </si>
  <si>
    <t>BCM cybersecurity requirements identified and approved.</t>
  </si>
  <si>
    <t>Cybersecurity requirements for business continuity management shall be identified, documented, and approved.</t>
  </si>
  <si>
    <t>3-1-2</t>
  </si>
  <si>
    <t>BCM cybersecurity requirements implemented.</t>
  </si>
  <si>
    <t>Cybersecurity requirements for business continuity management shall be implemented.</t>
  </si>
  <si>
    <t>3-1-3</t>
  </si>
  <si>
    <t>Continuity, incident response, disaster recovery plans.</t>
  </si>
  <si>
    <t>Requirements include: (1) ensuring continuity of cybersecurity systems and procedures, (2) developing plans for response to cybersecurity incidents affecting business continuity, (3) developing disaster recovery plans.</t>
  </si>
  <si>
    <t>3-1-4</t>
  </si>
  <si>
    <t>BCM cybersecurity requirements reviewed.</t>
  </si>
  <si>
    <t>Cybersecurity requirements for business continuity management shall be periodically reviewed.</t>
  </si>
  <si>
    <t xml:space="preserve">  DOMAIN 4: THIRD-PARTY &amp; CLOUD CYBERSECURITY</t>
  </si>
  <si>
    <t xml:space="preserve">    4-1  Third-Party Cybersecurity  —  Protect entity assets against third-party cybersecurity risks including IT outsourcing, cybersecurity outsourcing, and managed services.</t>
  </si>
  <si>
    <t>Domain 4: Third-Party &amp; Cloud Cybersecurity</t>
  </si>
  <si>
    <t>4-1-1</t>
  </si>
  <si>
    <t>4-1 Third-Party Cybersecurity</t>
  </si>
  <si>
    <t>Third-party contract requirements identified and approved.</t>
  </si>
  <si>
    <t>Cybersecurity requirements for the entity's contracts and agreements with third parties shall be identified, documented, and approved.</t>
  </si>
  <si>
    <t>4-1-2</t>
  </si>
  <si>
    <t>Contract clauses: NDA, incident procedures, compliance.</t>
  </si>
  <si>
    <t>Contracts/agreements with third parties shall include: (1) non-disclosure clauses and secure removal of entity data upon service end, (2) communication procedures for cybersecurity incidents, (3) obligating third party to apply entity's cybersecurity requirements.</t>
  </si>
  <si>
    <t>4-1-3</t>
  </si>
  <si>
    <t>Outsourcing: risk assessment, managed services in KSA.</t>
  </si>
  <si>
    <t>IT/cybersecurity outsourcing contracts shall include: (1) conducting cybersecurity risk assessment before signing contracts, (2) cybersecurity managed service centers for monitoring and operations using remote access shall be fully located in KSA.</t>
  </si>
  <si>
    <t>4-1-4</t>
  </si>
  <si>
    <t>Third-party requirements reviewed.</t>
  </si>
  <si>
    <t>Cybersecurity requirements for third parties shall be periodically reviewed.</t>
  </si>
  <si>
    <t xml:space="preserve">    4-2  Cloud Computing &amp; Hosting Cybersecurity  —  Ensure cybersecurity requirements for cloud computing and hosting to protect entity assets hosted by third parties.</t>
  </si>
  <si>
    <t>4-2-1</t>
  </si>
  <si>
    <t>4-2 Cloud Computing &amp; Hosting Cybersecurity</t>
  </si>
  <si>
    <t>Cloud/hosting requirements identified and approved.</t>
  </si>
  <si>
    <t>Cybersecurity requirements for use of cloud computing and hosting services shall be identified, documented, and approved.</t>
  </si>
  <si>
    <t>4-2-2</t>
  </si>
  <si>
    <t>Cloud/hosting requirements implemented.</t>
  </si>
  <si>
    <t>Cybersecurity requirements for cloud computing and hosting services shall be implemented.</t>
  </si>
  <si>
    <t>4-2-3</t>
  </si>
  <si>
    <t>Data protection, return, environment separation.</t>
  </si>
  <si>
    <t>Requirements include: (1) protection of entity's data by cloud/hosting providers in accordance with classification level and returning data in usable format upon service completion, (2) separation of entity's environment from other entities within the CSP.</t>
  </si>
  <si>
    <t>4-2-4</t>
  </si>
  <si>
    <t>Cloud/hosting requirements reviewed.</t>
  </si>
  <si>
    <t>Cybersecurity requirements for cloud computing and hosting services shall be periodically reviewed.</t>
  </si>
  <si>
    <t>NCA ECC-2:2024 — Gap Analysis Report (Auto-Populated)</t>
  </si>
  <si>
    <t>This sheet auto-populates from the Assessment sheet. Controls marked Non-Compliant or Partially Compliant appear below with their details.</t>
  </si>
  <si>
    <t>#</t>
  </si>
  <si>
    <t>Detailed Description</t>
  </si>
  <si>
    <t>Evidence Gap / Finding</t>
  </si>
  <si>
    <t>Remediation Plan</t>
  </si>
  <si>
    <t>Target Date</t>
  </si>
  <si>
    <t>NCA ECC-2:2024 — Subdomain Compliance Summary</t>
  </si>
  <si>
    <t>Ref</t>
  </si>
  <si>
    <t xml:space="preserve">  CYBERSECURITY GOVERNANCE</t>
  </si>
  <si>
    <t>1-1</t>
  </si>
  <si>
    <t>Cybersecurity Strategy</t>
  </si>
  <si>
    <t>1-2</t>
  </si>
  <si>
    <t>Cybersecurity Management</t>
  </si>
  <si>
    <t>1-3</t>
  </si>
  <si>
    <t>Cybersecurity Policies and Procedures</t>
  </si>
  <si>
    <t>1-4</t>
  </si>
  <si>
    <t>Cybersecurity Roles and Responsibilities</t>
  </si>
  <si>
    <t>1-5</t>
  </si>
  <si>
    <t>Cybersecurity Risk Management</t>
  </si>
  <si>
    <t>1-6</t>
  </si>
  <si>
    <t>Cybersecurity in IT Project Management</t>
  </si>
  <si>
    <t>1-7</t>
  </si>
  <si>
    <t>Compliance with Standards, Laws &amp; Regulations</t>
  </si>
  <si>
    <t>1-8</t>
  </si>
  <si>
    <t>Periodical Review and Audit</t>
  </si>
  <si>
    <t>1-9</t>
  </si>
  <si>
    <t>Cybersecurity in Human Resources</t>
  </si>
  <si>
    <t>1-10</t>
  </si>
  <si>
    <t>Cybersecurity Awareness &amp; Training</t>
  </si>
  <si>
    <t xml:space="preserve">  CYBERSECURITY DEFENSE</t>
  </si>
  <si>
    <t>2-1</t>
  </si>
  <si>
    <t>Asset Management</t>
  </si>
  <si>
    <t>2-2</t>
  </si>
  <si>
    <t>Identity and Access Management</t>
  </si>
  <si>
    <t>2-3</t>
  </si>
  <si>
    <t>Information Systems &amp; Facilities Protection</t>
  </si>
  <si>
    <t>2-4</t>
  </si>
  <si>
    <t>Email Protection</t>
  </si>
  <si>
    <t>2-5</t>
  </si>
  <si>
    <t>Network Security Management</t>
  </si>
  <si>
    <t>2-6</t>
  </si>
  <si>
    <t>Mobile Devices Security</t>
  </si>
  <si>
    <t>2-7</t>
  </si>
  <si>
    <t>Data and Information Protection</t>
  </si>
  <si>
    <t>2-8</t>
  </si>
  <si>
    <t>Cryptography</t>
  </si>
  <si>
    <t>2-9</t>
  </si>
  <si>
    <t>Backup and Recovery Management</t>
  </si>
  <si>
    <t>2-10</t>
  </si>
  <si>
    <t>Vulnerability Management</t>
  </si>
  <si>
    <t>2-11</t>
  </si>
  <si>
    <t>Penetration Testing</t>
  </si>
  <si>
    <t>2-12</t>
  </si>
  <si>
    <t>Event Logs and Monitoring</t>
  </si>
  <si>
    <t>2-13</t>
  </si>
  <si>
    <t>Incident and Threat Management</t>
  </si>
  <si>
    <t>2-14</t>
  </si>
  <si>
    <t>Physical Security</t>
  </si>
  <si>
    <t>2-15</t>
  </si>
  <si>
    <t>Web Application Security</t>
  </si>
  <si>
    <t xml:space="preserve">  CYBERSECURITY RESILIENCE</t>
  </si>
  <si>
    <t>3-1</t>
  </si>
  <si>
    <t>BCM Cybersecurity Resilience</t>
  </si>
  <si>
    <t xml:space="preserve">  THIRD-PARTY &amp; CLOUD CYBERSECURITY</t>
  </si>
  <si>
    <t>4-1</t>
  </si>
  <si>
    <t>Third-Party Cybersecurity</t>
  </si>
  <si>
    <t>4-2</t>
  </si>
  <si>
    <t>Cloud Computing &amp; Hosting Cybersecurity</t>
  </si>
  <si>
    <t>HOW TO ENABLE INTERACTIVE DIMMING (VBA Macro)</t>
  </si>
  <si>
    <t>This workbook includes a VBA macro that automatically dims/highlights rows based on status selection.</t>
  </si>
  <si>
    <t>Since .xlsx files cannot contain macros, follow these steps to enable the feature:</t>
  </si>
  <si>
    <t>STEP 1: Save this file as .xlsm (Excel Macro-Enabled Workbook)</t>
  </si>
  <si>
    <t xml:space="preserve">   - File &gt; Save As &gt; Change type to 'Excel Macro-Enabled Workbook (.xlsm)'</t>
  </si>
  <si>
    <t>STEP 2: Open the VBA Editor</t>
  </si>
  <si>
    <t xml:space="preserve">   - Press Alt+F11 (or Developer &gt; Visual Basic)</t>
  </si>
  <si>
    <t>STEP 3: Find the Assessment sheet module</t>
  </si>
  <si>
    <t xml:space="preserve">   - In the Project Explorer (left panel), expand your workbook</t>
  </si>
  <si>
    <t xml:space="preserve">   - Double-click on the 'Assessment' sheet (under Microsoft Excel Objects)</t>
  </si>
  <si>
    <t>STEP 4: Paste the VBA code below into the code window</t>
  </si>
  <si>
    <t xml:space="preserve">   - Copy everything between the === markers below and paste it in the editor</t>
  </si>
  <si>
    <t>STEP 5: Close the VBA Editor and save</t>
  </si>
  <si>
    <t xml:space="preserve">   - Press Alt+F11 again to return to Excel, then save</t>
  </si>
  <si>
    <t>WHAT IT DOES:</t>
  </si>
  <si>
    <t xml:space="preserve">   - When you select 'Compliant' or 'Not Applicable' -&gt; Evidence, Notes, Remediation columns DIM OUT</t>
  </si>
  <si>
    <t xml:space="preserve">   - When you select 'Non-Compliant' or 'Partially Compliant' -&gt; those columns HIGHLIGHT for input</t>
  </si>
  <si>
    <t xml:space="preserve">   - Status cell itself gets color-coded (green/amber/red/gray)</t>
  </si>
  <si>
    <t>═══════════════════ COPY THE CODE BELOW ═══════════════════</t>
  </si>
  <si>
    <t>' === NCA ECC Assessment - Auto Dim Macro ===</t>
  </si>
  <si>
    <t>' This VBA code runs when status changes in column F</t>
  </si>
  <si>
    <t>' Compliant / Not Applicable -&gt; dims Evidence, Notes, Remediation</t>
  </si>
  <si>
    <t>' Non-Compliant / Partially Compliant -&gt; highlights them active</t>
  </si>
  <si>
    <t>' Empty -&gt; neutral state</t>
  </si>
  <si>
    <t>Private Sub Worksheet_Change(ByVal Target As Range)</t>
  </si>
  <si>
    <t xml:space="preserve">    Dim StatusCol As Long: StatusCol = 6  ' Column F</t>
  </si>
  <si>
    <t xml:space="preserve">    Dim EvidenceCol As Long: EvidenceCol = 7</t>
  </si>
  <si>
    <t xml:space="preserve">    Dim NotesCol As Long: NotesCol = 8</t>
  </si>
  <si>
    <t xml:space="preserve">    Dim RemediationCol As Long: RemediationCol = 9</t>
  </si>
  <si>
    <t xml:space="preserve">    </t>
  </si>
  <si>
    <t xml:space="preserve">    If Target.Column &lt;&gt; StatusCol Then Exit Sub</t>
  </si>
  <si>
    <t xml:space="preserve">    If Target.Row &lt; 4 Then Exit Sub</t>
  </si>
  <si>
    <t xml:space="preserve">    Application.EnableEvents = False</t>
  </si>
  <si>
    <t xml:space="preserve">    Dim r As Long</t>
  </si>
  <si>
    <t xml:space="preserve">    For Each cell In Target</t>
  </si>
  <si>
    <t xml:space="preserve">        r = cell.Row</t>
  </si>
  <si>
    <t xml:space="preserve">        Dim statusVal As String: statusVal = CStr(cell.Value)</t>
  </si>
  <si>
    <t xml:space="preserve">        </t>
  </si>
  <si>
    <t xml:space="preserve">        Select Case statusVal</t>
  </si>
  <si>
    <t xml:space="preserve">            Case "Compliant", "Not Applicable"</t>
  </si>
  <si>
    <t xml:space="preserve">                ' Dim the input columns</t>
  </si>
  <si>
    <t xml:space="preserve">                Range(Cells(r, EvidenceCol), Cells(r, RemediationCol)).Interior.Color = RGB(242, 243, 245)</t>
  </si>
  <si>
    <t xml:space="preserve">                Range(Cells(r, EvidenceCol), Cells(r, RemediationCol)).Font.Color = RGB(176, 184, 196)</t>
  </si>
  <si>
    <t xml:space="preserve">                </t>
  </si>
  <si>
    <t xml:space="preserve">                ' Color status cell</t>
  </si>
  <si>
    <t xml:space="preserve">                If statusVal = "Compliant" Then</t>
  </si>
  <si>
    <t xml:space="preserve">                    Cells(r, StatusCol).Interior.Color = RGB(209, 250, 229)</t>
  </si>
  <si>
    <t xml:space="preserve">                    Cells(r, StatusCol).Font.Color = RGB(5, 150, 105)</t>
  </si>
  <si>
    <t xml:space="preserve">                Else</t>
  </si>
  <si>
    <t xml:space="preserve">                    Cells(r, StatusCol).Interior.Color = RGB(249, 250, 251)</t>
  </si>
  <si>
    <t xml:space="preserve">                    Cells(r, StatusCol).Font.Color = RGB(156, 163, 175)</t>
  </si>
  <si>
    <t xml:space="preserve">                End If</t>
  </si>
  <si>
    <t xml:space="preserve">            Case "Non-Compliant"</t>
  </si>
  <si>
    <t xml:space="preserve">                ' Active - highlight for input</t>
  </si>
  <si>
    <t xml:space="preserve">                Cells(r, EvidenceCol).Interior.Color = RGB(240, 255, 244)</t>
  </si>
  <si>
    <t xml:space="preserve">                Cells(r, EvidenceCol).Font.Color = RGB(55, 65, 129)</t>
  </si>
  <si>
    <t xml:space="preserve">                Cells(r, NotesCol).Interior.Color = RGB(255, 255, 240)</t>
  </si>
  <si>
    <t xml:space="preserve">                Cells(r, NotesCol).Font.Color = RGB(55, 65, 129)</t>
  </si>
  <si>
    <t xml:space="preserve">                Cells(r, RemediationCol).Interior.Color = RGB(254, 226, 226)</t>
  </si>
  <si>
    <t xml:space="preserve">                Cells(r, RemediationCol).Font.Color = RGB(55, 65, 129)</t>
  </si>
  <si>
    <t xml:space="preserve">                Cells(r, StatusCol).Interior.Color = RGB(254, 226, 226)</t>
  </si>
  <si>
    <t xml:space="preserve">                Cells(r, StatusCol).Font.Color = RGB(220, 38, 38)</t>
  </si>
  <si>
    <t xml:space="preserve">            Case "Partially Compliant"</t>
  </si>
  <si>
    <t xml:space="preserve">                Cells(r, RemediationCol).Interior.Color = RGB(254, 243, 199)</t>
  </si>
  <si>
    <t xml:space="preserve">                Cells(r, StatusCol).Interior.Color = RGB(254, 243, 199)</t>
  </si>
  <si>
    <t xml:space="preserve">                Cells(r, StatusCol).Font.Color = RGB(217, 119, 6)</t>
  </si>
  <si>
    <t xml:space="preserve">            Case ""</t>
  </si>
  <si>
    <t xml:space="preserve">                ' Reset to neutral</t>
  </si>
  <si>
    <t xml:space="preserve">                Cells(r, RemediationCol).Interior.Color = RGB(255, 255, 240)</t>
  </si>
  <si>
    <t xml:space="preserve">                Cells(r, StatusCol).Interior.Color = RGB(255, 255, 240)</t>
  </si>
  <si>
    <t xml:space="preserve">                Cells(r, StatusCol).Font.Color = RGB(10, 36, 99)</t>
  </si>
  <si>
    <t xml:space="preserve">        End Select</t>
  </si>
  <si>
    <t xml:space="preserve">    Next cell</t>
  </si>
  <si>
    <t xml:space="preserve">    Application.EnableEvents = True</t>
  </si>
  <si>
    <t>End 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</si>
</sst>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3" x14ac:knownFonts="1">
    <font>
      <sz val="11"/>
      <color theme="1"/>
      <name val="Calibri"/>
      <family val="2"/>
      <charset val="1"/>
    </font>
    <font>
      <b/>
      <sz val="12"/>
      <color rgb="FF0A2463"/>
      <name val="Arial"/>
      <charset val="1"/>
    </font>
    <font>
      <b/>
      <sz val="18"/>
      <color rgb="FFFFFFFF"/>
      <name val="Arial"/>
      <charset val="1"/>
    </font>
    <font>
      <b/>
      <sz val="14"/>
      <color rgb="FFFFFFFF"/>
      <name val="Arial"/>
      <charset val="1"/>
    </font>
    <font>
      <b/>
      <sz val="10"/>
      <color rgb="FF374151"/>
      <name val="Arial"/>
      <charset val="1"/>
    </font>
    <font>
      <sz val="10"/>
      <color rgb="FF374151"/>
      <name val="Arial"/>
      <charset val="1"/>
    </font>
    <font>
      <b/>
      <sz val="11"/>
      <color rgb="FF0A2463"/>
      <name val="Arial"/>
      <charset val="1"/>
    </font>
    <font>
      <b/>
      <sz val="10"/>
      <color rgb="FF059669"/>
      <name val="Arial"/>
      <charset val="1"/>
    </font>
    <font>
      <sz val="9"/>
      <color rgb="FF6B7280"/>
      <name val="Arial"/>
      <charset val="1"/>
    </font>
    <font>
      <b/>
      <sz val="10"/>
      <color rgb="FFD97706"/>
      <name val="Arial"/>
      <charset val="1"/>
    </font>
    <font>
      <b/>
      <sz val="10"/>
      <color rgb="FFDC2626"/>
      <name val="Arial"/>
      <charset val="1"/>
    </font>
    <font>
      <b/>
      <sz val="10"/>
      <color rgb="FF9CA3AF"/>
      <name val="Arial"/>
      <charset val="1"/>
    </font>
    <font>
      <b/>
      <sz val="16"/>
      <color rgb="FF0A2463"/>
      <name val="Arial"/>
      <charset val="1"/>
    </font>
    <font>
      <b/>
      <sz val="11"/>
      <color rgb="FFFFFFFF"/>
      <name val="Arial"/>
      <charset val="1"/>
    </font>
    <font>
      <b/>
      <sz val="10"/>
      <color rgb="FFFFFFFF"/>
      <name val="Arial"/>
      <charset val="1"/>
    </font>
    <font>
      <i/>
      <sz val="9"/>
      <color rgb="FF6B7280"/>
      <name val="Arial"/>
      <charset val="1"/>
    </font>
    <font>
      <b/>
      <sz val="12"/>
      <color rgb="FFFFFFFF"/>
      <name val="Arial"/>
      <charset val="1"/>
    </font>
    <font>
      <b/>
      <sz val="10"/>
      <color rgb="FF0A2463"/>
      <name val="Arial"/>
      <charset val="1"/>
    </font>
    <font>
      <b/>
      <sz val="14"/>
      <color rgb="FF0A2463"/>
      <name val="Arial"/>
      <charset val="1"/>
    </font>
    <font>
      <sz val="10"/>
      <color rgb="FF374151"/>
      <name val="Consolas"/>
      <charset val="1"/>
    </font>
    <font>
      <sz val="9"/>
      <color rgb="FF1E6091"/>
      <name val="Consolas"/>
      <charset val="1"/>
    </font>
    <font>
      <b/>
      <sz val="10"/>
      <name val="Arial"/>
      <family val="2"/>
    </font>
    <font>
      <sz val="10"/>
      <name val="Arial"/>
      <family val="2"/>
    </font>
  </fonts>
  <fills count="17">
    <fill>
      <patternFill patternType="none"/>
    </fill>
    <fill>
      <patternFill patternType="gray125"/>
    </fill>
    <fill>
      <patternFill patternType="solid">
        <fgColor rgb="FF0A2463"/>
        <bgColor rgb="FF000080"/>
      </patternFill>
    </fill>
    <fill>
      <patternFill patternType="solid">
        <fgColor rgb="FF1E6091"/>
        <bgColor rgb="FF008080"/>
      </patternFill>
    </fill>
    <fill>
      <patternFill patternType="solid">
        <fgColor rgb="FFF8F9FB"/>
        <bgColor rgb="FFF9F9F9"/>
      </patternFill>
    </fill>
    <fill>
      <patternFill patternType="solid">
        <fgColor rgb="FFE5E7EB"/>
        <bgColor rgb="FFDBEAFE"/>
      </patternFill>
    </fill>
    <fill>
      <patternFill patternType="solid">
        <fgColor rgb="FFD1FAE5"/>
        <bgColor rgb="FFDBEAFE"/>
      </patternFill>
    </fill>
    <fill>
      <patternFill patternType="solid">
        <fgColor rgb="FFFEF3C7"/>
        <bgColor rgb="FFFEE2E2"/>
      </patternFill>
    </fill>
    <fill>
      <patternFill patternType="solid">
        <fgColor rgb="FFFEE2E2"/>
        <bgColor rgb="FFE5E7EB"/>
      </patternFill>
    </fill>
    <fill>
      <patternFill patternType="solid">
        <fgColor rgb="FFF9FAFB"/>
        <bgColor rgb="FFF8F9FB"/>
      </patternFill>
    </fill>
    <fill>
      <patternFill patternType="solid">
        <fgColor rgb="FFDBEAFE"/>
        <bgColor rgb="FFE5E7EB"/>
      </patternFill>
    </fill>
    <fill>
      <patternFill patternType="solid">
        <fgColor rgb="FFF2F3F5"/>
        <bgColor rgb="FFF8F9FB"/>
      </patternFill>
    </fill>
    <fill>
      <patternFill patternType="solid">
        <fgColor rgb="FFFFFFF0"/>
        <bgColor rgb="FFFFFFFF"/>
      </patternFill>
    </fill>
    <fill>
      <patternFill patternType="solid">
        <fgColor rgb="FFF0FFF4"/>
        <bgColor rgb="FFF9FAFB"/>
      </patternFill>
    </fill>
    <fill>
      <patternFill patternType="solid">
        <fgColor rgb="FF3A7D44"/>
        <bgColor rgb="FF6B7280"/>
      </patternFill>
    </fill>
    <fill>
      <patternFill patternType="solid">
        <fgColor rgb="FFE07A1B"/>
        <bgColor rgb="FFD97706"/>
      </patternFill>
    </fill>
    <fill>
      <patternFill patternType="solid">
        <fgColor rgb="FFDC2626"/>
        <bgColor rgb="FF993300"/>
      </patternFill>
    </fill>
  </fills>
  <borders count="4">
    <border>
      <left/>
      <right/>
      <top/>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3">
    <xf numFmtId="0" fontId="0" fillId="0" borderId="0" xfId="0"/>
    <xf numFmtId="0" fontId="4" fillId="4" borderId="1" xfId="0" applyFont="1" applyFill="1" applyBorder="1"/>
    <xf numFmtId="0" fontId="7" fillId="6" borderId="1" xfId="0" applyFont="1" applyFill="1" applyBorder="1" applyAlignment="1">
      <alignment horizontal="center" vertical="center" wrapText="1"/>
    </xf>
    <xf numFmtId="0" fontId="7" fillId="0" borderId="1" xfId="0" applyFont="1" applyBorder="1"/>
    <xf numFmtId="0" fontId="9" fillId="7" borderId="1" xfId="0" applyFont="1" applyFill="1" applyBorder="1" applyAlignment="1">
      <alignment horizontal="center" vertical="center" wrapText="1"/>
    </xf>
    <xf numFmtId="0" fontId="9" fillId="0" borderId="1" xfId="0" applyFont="1" applyBorder="1"/>
    <xf numFmtId="0" fontId="10" fillId="8" borderId="1" xfId="0" applyFont="1" applyFill="1" applyBorder="1" applyAlignment="1">
      <alignment horizontal="center" vertical="center" wrapText="1"/>
    </xf>
    <xf numFmtId="0" fontId="10" fillId="0" borderId="1" xfId="0" applyFont="1" applyBorder="1"/>
    <xf numFmtId="0" fontId="11" fillId="9" borderId="1" xfId="0" applyFont="1" applyFill="1" applyBorder="1" applyAlignment="1">
      <alignment horizontal="center" vertical="center" wrapText="1"/>
    </xf>
    <xf numFmtId="0" fontId="11" fillId="0" borderId="1" xfId="0" applyFont="1" applyBorder="1"/>
    <xf numFmtId="0" fontId="1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164" fontId="6" fillId="0" borderId="1" xfId="0" applyNumberFormat="1" applyFont="1" applyBorder="1" applyAlignment="1">
      <alignment horizontal="center" vertical="center" wrapText="1"/>
    </xf>
    <xf numFmtId="0" fontId="4" fillId="0" borderId="0" xfId="0" applyFont="1"/>
    <xf numFmtId="0" fontId="5" fillId="0" borderId="1" xfId="0" applyFont="1" applyBorder="1"/>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5" fillId="12" borderId="1" xfId="0" applyFont="1" applyFill="1" applyBorder="1" applyAlignment="1">
      <alignment horizontal="left" vertical="top" wrapText="1"/>
    </xf>
    <xf numFmtId="0" fontId="13" fillId="1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8" fillId="0" borderId="1" xfId="0" applyFont="1" applyBorder="1" applyAlignment="1">
      <alignment horizontal="left" vertical="top" wrapText="1"/>
    </xf>
    <xf numFmtId="0" fontId="5" fillId="13" borderId="1" xfId="0" applyFont="1" applyFill="1" applyBorder="1" applyAlignment="1">
      <alignment horizontal="left" vertical="top" wrapText="1"/>
    </xf>
    <xf numFmtId="165" fontId="5" fillId="12" borderId="1" xfId="0" applyNumberFormat="1"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4" fillId="0" borderId="1" xfId="0" applyFont="1" applyBorder="1"/>
    <xf numFmtId="0" fontId="5" fillId="0" borderId="1" xfId="0" applyFont="1" applyBorder="1" applyAlignment="1">
      <alignment horizontal="center" vertical="center" wrapText="1"/>
    </xf>
    <xf numFmtId="0" fontId="18" fillId="0" borderId="0" xfId="0" applyFont="1"/>
    <xf numFmtId="0" fontId="5" fillId="0" borderId="0" xfId="0" applyFont="1"/>
    <xf numFmtId="0" fontId="19" fillId="0" borderId="0" xfId="0" applyFont="1"/>
    <xf numFmtId="0" fontId="20" fillId="4" borderId="0" xfId="0" applyFont="1" applyFill="1"/>
    <xf numFmtId="0" fontId="13" fillId="2" borderId="3" xfId="0" applyFont="1" applyFill="1" applyBorder="1" applyAlignment="1">
      <alignment horizontal="center" vertical="center" wrapText="1"/>
    </xf>
    <xf numFmtId="0" fontId="22" fillId="11" borderId="3" xfId="0" applyFont="1" applyFill="1" applyBorder="1" applyAlignment="1">
      <alignment horizontal="left" vertical="center" wrapText="1"/>
    </xf>
    <xf numFmtId="0" fontId="21" fillId="0" borderId="3" xfId="0" applyFont="1" applyBorder="1" applyAlignment="1">
      <alignment horizontal="center" vertical="center" wrapText="1"/>
    </xf>
    <xf numFmtId="0" fontId="22" fillId="11" borderId="3" xfId="0" applyFont="1" applyFill="1" applyBorder="1" applyAlignment="1">
      <alignment horizontal="left" vertical="top" wrapText="1"/>
    </xf>
    <xf numFmtId="0" fontId="21" fillId="12" borderId="3" xfId="0" applyFont="1" applyFill="1" applyBorder="1" applyAlignment="1">
      <alignment horizontal="center" vertical="center" wrapText="1"/>
    </xf>
    <xf numFmtId="0" fontId="22" fillId="13" borderId="3" xfId="0" applyFont="1" applyFill="1" applyBorder="1" applyAlignment="1">
      <alignment horizontal="left" vertical="top" wrapText="1"/>
    </xf>
    <xf numFmtId="0" fontId="22" fillId="12" borderId="3" xfId="0" applyFont="1" applyFill="1" applyBorder="1" applyAlignment="1">
      <alignment horizontal="left" vertical="top" wrapText="1"/>
    </xf>
    <xf numFmtId="0" fontId="21" fillId="6" borderId="3" xfId="0" applyFont="1" applyFill="1" applyBorder="1" applyAlignment="1">
      <alignment horizontal="left" vertical="center" wrapText="1"/>
    </xf>
    <xf numFmtId="0" fontId="16" fillId="15" borderId="3" xfId="0" applyFont="1" applyFill="1" applyBorder="1" applyAlignment="1">
      <alignment horizontal="left" vertical="center"/>
    </xf>
    <xf numFmtId="0" fontId="21" fillId="7" borderId="3" xfId="0" applyFont="1" applyFill="1" applyBorder="1" applyAlignment="1">
      <alignment horizontal="left" vertical="center" wrapText="1"/>
    </xf>
    <xf numFmtId="0" fontId="21" fillId="10" borderId="3" xfId="0" applyFont="1" applyFill="1" applyBorder="1" applyAlignment="1">
      <alignment horizontal="left" vertical="center" wrapText="1"/>
    </xf>
    <xf numFmtId="0" fontId="16" fillId="14" borderId="3" xfId="0" applyFont="1" applyFill="1" applyBorder="1" applyAlignment="1">
      <alignment horizontal="left" vertical="center"/>
    </xf>
    <xf numFmtId="0" fontId="16" fillId="3" borderId="3" xfId="0" applyFont="1" applyFill="1" applyBorder="1" applyAlignment="1">
      <alignment horizontal="left" vertical="center"/>
    </xf>
    <xf numFmtId="0" fontId="3" fillId="2" borderId="3" xfId="0" applyFont="1" applyFill="1" applyBorder="1" applyAlignment="1">
      <alignment horizontal="center" vertical="center" wrapText="1"/>
    </xf>
    <xf numFmtId="0" fontId="15" fillId="4" borderId="3" xfId="0" applyFont="1" applyFill="1" applyBorder="1" applyAlignment="1">
      <alignment horizontal="center"/>
    </xf>
    <xf numFmtId="0" fontId="16" fillId="2" borderId="3" xfId="0" applyFont="1" applyFill="1" applyBorder="1" applyAlignment="1">
      <alignment horizontal="left" vertical="center"/>
    </xf>
    <xf numFmtId="0" fontId="8" fillId="0" borderId="2" xfId="0" applyFont="1" applyBorder="1"/>
    <xf numFmtId="0" fontId="5" fillId="0" borderId="2" xfId="0" applyFont="1" applyBorder="1"/>
    <xf numFmtId="0" fontId="6" fillId="5" borderId="2" xfId="0" applyFont="1" applyFill="1" applyBorder="1" applyAlignment="1">
      <alignment horizontal="center" vertical="center" wrapText="1"/>
    </xf>
    <xf numFmtId="0" fontId="1" fillId="0" borderId="0" xfId="0" applyFont="1" applyAlignment="1">
      <alignment horizontal="center"/>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12" fillId="0" borderId="0" xfId="0" applyFont="1"/>
    <xf numFmtId="0" fontId="13" fillId="2" borderId="2" xfId="0" applyFont="1" applyFill="1" applyBorder="1" applyAlignment="1">
      <alignment horizontal="center" vertical="center" wrapText="1"/>
    </xf>
    <xf numFmtId="0" fontId="13" fillId="2" borderId="0" xfId="0" applyFont="1" applyFill="1" applyAlignment="1">
      <alignment horizontal="center" vertical="center" wrapText="1"/>
    </xf>
    <xf numFmtId="0" fontId="3" fillId="16" borderId="0" xfId="0" applyFont="1" applyFill="1" applyAlignment="1">
      <alignment horizontal="center" vertical="center" wrapText="1"/>
    </xf>
    <xf numFmtId="0" fontId="15" fillId="4" borderId="0" xfId="0" applyFont="1" applyFill="1" applyAlignment="1">
      <alignment horizontal="center"/>
    </xf>
    <xf numFmtId="0" fontId="3" fillId="14" borderId="0" xfId="0" applyFont="1" applyFill="1" applyAlignment="1">
      <alignment horizontal="center" vertical="center" wrapText="1"/>
    </xf>
    <xf numFmtId="0" fontId="13" fillId="2" borderId="1" xfId="0" applyFont="1" applyFill="1" applyBorder="1" applyAlignment="1">
      <alignment horizontal="left" vertical="center"/>
    </xf>
    <xf numFmtId="0" fontId="13" fillId="3" borderId="1" xfId="0" applyFont="1" applyFill="1" applyBorder="1" applyAlignment="1">
      <alignment horizontal="left" vertical="center"/>
    </xf>
    <xf numFmtId="0" fontId="13" fillId="14" borderId="1" xfId="0" applyFont="1" applyFill="1" applyBorder="1" applyAlignment="1">
      <alignment horizontal="left" vertical="center"/>
    </xf>
    <xf numFmtId="0" fontId="13" fillId="15"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9F9F9"/>
      <rgbColor rgb="FFFF00FF"/>
      <rgbColor rgb="FF00FFFF"/>
      <rgbColor rgb="FF800000"/>
      <rgbColor rgb="FF008000"/>
      <rgbColor rgb="FF000080"/>
      <rgbColor rgb="FF808000"/>
      <rgbColor rgb="FF800080"/>
      <rgbColor rgb="FF059669"/>
      <rgbColor rgb="FFB0B8C4"/>
      <rgbColor rgb="FF878787"/>
      <rgbColor rgb="FF9999FF"/>
      <rgbColor rgb="FF993366"/>
      <rgbColor rgb="FFFEF3C7"/>
      <rgbColor rgb="FFDBEAFE"/>
      <rgbColor rgb="FF660066"/>
      <rgbColor rgb="FFFF8080"/>
      <rgbColor rgb="FF1E6091"/>
      <rgbColor rgb="FFD9D9D9"/>
      <rgbColor rgb="FF000080"/>
      <rgbColor rgb="FFFF00FF"/>
      <rgbColor rgb="FFF9FAFB"/>
      <rgbColor rgb="FF00FFFF"/>
      <rgbColor rgb="FF800080"/>
      <rgbColor rgb="FF800000"/>
      <rgbColor rgb="FF008080"/>
      <rgbColor rgb="FF0000FF"/>
      <rgbColor rgb="FF00CCFF"/>
      <rgbColor rgb="FFF0FFF4"/>
      <rgbColor rgb="FFD1FAE5"/>
      <rgbColor rgb="FFFFFFF0"/>
      <rgbColor rgb="FFE5E7EB"/>
      <rgbColor rgb="FFF2F3F5"/>
      <rgbColor rgb="FFF8F9FB"/>
      <rgbColor rgb="FFFEE2E2"/>
      <rgbColor rgb="FF4F81BD"/>
      <rgbColor rgb="FF33CCCC"/>
      <rgbColor rgb="FF99CC00"/>
      <rgbColor rgb="FFFFCC00"/>
      <rgbColor rgb="FFD97706"/>
      <rgbColor rgb="FFE07A1B"/>
      <rgbColor rgb="FF6B7280"/>
      <rgbColor rgb="FF9CA3AF"/>
      <rgbColor rgb="FF0A2463"/>
      <rgbColor rgb="FF3A7D44"/>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Compliance Status Distribution</a:t>
            </a:r>
          </a:p>
        </c:rich>
      </c:tx>
      <c:overlay val="0"/>
      <c:spPr>
        <a:noFill/>
        <a:ln w="0">
          <a:noFill/>
        </a:ln>
      </c:spPr>
    </c:title>
    <c:autoTitleDeleted val="0"/>
    <c:plotArea>
      <c:layout/>
      <c:pieChart>
        <c:varyColors val="1"/>
        <c:ser>
          <c:idx val="0"/>
          <c:order val="0"/>
          <c:tx>
            <c:strRef>
              <c:f>Dashboard!$C$15</c:f>
              <c:strCache>
                <c:ptCount val="1"/>
                <c:pt idx="0">
                  <c:v>Count</c:v>
                </c:pt>
              </c:strCache>
            </c:strRef>
          </c:tx>
          <c:spPr>
            <a:solidFill>
              <a:srgbClr val="4F81BD"/>
            </a:solidFill>
            <a:ln w="9360">
              <a:solidFill>
                <a:srgbClr val="F9F9F9"/>
              </a:solidFill>
              <a:round/>
            </a:ln>
          </c:spPr>
          <c:dPt>
            <c:idx val="0"/>
            <c:bubble3D val="0"/>
            <c:spPr>
              <a:solidFill>
                <a:srgbClr val="059669"/>
              </a:solidFill>
              <a:ln w="9360">
                <a:solidFill>
                  <a:srgbClr val="F9F9F9"/>
                </a:solidFill>
                <a:round/>
              </a:ln>
            </c:spPr>
            <c:extLst>
              <c:ext xmlns:c16="http://schemas.microsoft.com/office/drawing/2014/chart" uri="{C3380CC4-5D6E-409C-BE32-E72D297353CC}">
                <c16:uniqueId val="{00000001-2FD9-47D4-84D7-23CF13FA2C03}"/>
              </c:ext>
            </c:extLst>
          </c:dPt>
          <c:dPt>
            <c:idx val="1"/>
            <c:bubble3D val="0"/>
            <c:spPr>
              <a:solidFill>
                <a:srgbClr val="D97706"/>
              </a:solidFill>
              <a:ln w="9360">
                <a:solidFill>
                  <a:srgbClr val="F9F9F9"/>
                </a:solidFill>
                <a:round/>
              </a:ln>
            </c:spPr>
            <c:extLst>
              <c:ext xmlns:c16="http://schemas.microsoft.com/office/drawing/2014/chart" uri="{C3380CC4-5D6E-409C-BE32-E72D297353CC}">
                <c16:uniqueId val="{00000003-2FD9-47D4-84D7-23CF13FA2C03}"/>
              </c:ext>
            </c:extLst>
          </c:dPt>
          <c:dPt>
            <c:idx val="2"/>
            <c:bubble3D val="0"/>
            <c:spPr>
              <a:solidFill>
                <a:srgbClr val="DC2626"/>
              </a:solidFill>
              <a:ln w="9360">
                <a:solidFill>
                  <a:srgbClr val="F9F9F9"/>
                </a:solidFill>
                <a:round/>
              </a:ln>
            </c:spPr>
            <c:extLst>
              <c:ext xmlns:c16="http://schemas.microsoft.com/office/drawing/2014/chart" uri="{C3380CC4-5D6E-409C-BE32-E72D297353CC}">
                <c16:uniqueId val="{00000005-2FD9-47D4-84D7-23CF13FA2C03}"/>
              </c:ext>
            </c:extLst>
          </c:dPt>
          <c:dPt>
            <c:idx val="3"/>
            <c:bubble3D val="0"/>
            <c:spPr>
              <a:solidFill>
                <a:srgbClr val="9CA3AF"/>
              </a:solidFill>
              <a:ln w="9360">
                <a:solidFill>
                  <a:srgbClr val="F9F9F9"/>
                </a:solidFill>
                <a:round/>
              </a:ln>
            </c:spPr>
            <c:extLst>
              <c:ext xmlns:c16="http://schemas.microsoft.com/office/drawing/2014/chart" uri="{C3380CC4-5D6E-409C-BE32-E72D297353CC}">
                <c16:uniqueId val="{00000007-2FD9-47D4-84D7-23CF13FA2C03}"/>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1-2FD9-47D4-84D7-23CF13FA2C03}"/>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3-2FD9-47D4-84D7-23CF13FA2C03}"/>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5-2FD9-47D4-84D7-23CF13FA2C03}"/>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7-2FD9-47D4-84D7-23CF13FA2C03}"/>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0"/>
            <c:showSerName val="1"/>
            <c:showPercent val="1"/>
            <c:showBubbleSize val="1"/>
            <c:separator>; </c:separator>
            <c:showLeaderLines val="1"/>
            <c:extLst>
              <c:ext xmlns:c15="http://schemas.microsoft.com/office/drawing/2012/chart" uri="{CE6537A1-D6FC-4f65-9D91-7224C49458BB}"/>
            </c:extLst>
          </c:dLbls>
          <c:cat>
            <c:strRef>
              <c:f>Dashboard!$B$16:$B$19</c:f>
              <c:strCache>
                <c:ptCount val="4"/>
                <c:pt idx="0">
                  <c:v>Compliant</c:v>
                </c:pt>
                <c:pt idx="1">
                  <c:v>Partially Compliant</c:v>
                </c:pt>
                <c:pt idx="2">
                  <c:v>Non-Compliant</c:v>
                </c:pt>
                <c:pt idx="3">
                  <c:v>Not Applicable</c:v>
                </c:pt>
              </c:strCache>
            </c:strRef>
          </c:cat>
          <c:val>
            <c:numRef>
              <c:f>Dashboard!$C$16:$C$19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2FD9-47D4-84D7-23CF13FA2C0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Domain Compliance Breakdown</a:t>
            </a:r>
          </a:p>
        </c:rich>
      </c:tx>
      <c:overlay val="0"/>
      <c:spPr>
        <a:noFill/>
        <a:ln w="0">
          <a:noFill/>
        </a:ln>
      </c:spPr>
    </c:title>
    <c:autoTitleDeleted val="0"/>
    <c:plotArea>
      <c:layout/>
      <c:barChart>
        <c:barDir val="col"/>
        <c:grouping val="stacked"/>
        <c:varyColors val="0"/>
        <c:ser>
          <c:idx val="0"/>
          <c:order val="0"/>
          <c:tx>
            <c:strRef>
              <c:f>Dashboard!$D$23</c:f>
              <c:strCache>
                <c:ptCount val="1"/>
                <c:pt idx="0">
                  <c:v>Compliant</c:v>
                </c:pt>
              </c:strCache>
            </c:strRef>
          </c:tx>
          <c:spPr>
            <a:solidFill>
              <a:srgbClr val="059669"/>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Dashboard!$B$24:$B$27</c:f>
              <c:strCache>
                <c:ptCount val="4"/>
                <c:pt idx="0">
                  <c:v>Cybersecurity Governance</c:v>
                </c:pt>
                <c:pt idx="1">
                  <c:v>Cybersecurity Defense</c:v>
                </c:pt>
                <c:pt idx="2">
                  <c:v>Cybersecurity Resilience</c:v>
                </c:pt>
                <c:pt idx="3">
                  <c:v>Third-Party &amp; Cloud Cybersecurity</c:v>
                </c:pt>
              </c:strCache>
            </c:strRef>
          </c:cat>
          <c:val>
            <c:numRef>
              <c:f>Dashboard!$D$24:$D$27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4724-4E44-8A67-DCBB612C912B}"/>
            </c:ext>
          </c:extLst>
        </c:ser>
        <c:ser>
          <c:idx val="1"/>
          <c:order val="1"/>
          <c:tx>
            <c:strRef>
              <c:f>Dashboard!$E$23</c:f>
              <c:strCache>
                <c:ptCount val="1"/>
                <c:pt idx="0">
                  <c:v>Partial</c:v>
                </c:pt>
              </c:strCache>
            </c:strRef>
          </c:tx>
          <c:spPr>
            <a:solidFill>
              <a:srgbClr val="D9770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Dashboard!$B$24:$B$27</c:f>
              <c:strCache>
                <c:ptCount val="4"/>
                <c:pt idx="0">
                  <c:v>Cybersecurity Governance</c:v>
                </c:pt>
                <c:pt idx="1">
                  <c:v>Cybersecurity Defense</c:v>
                </c:pt>
                <c:pt idx="2">
                  <c:v>Cybersecurity Resilience</c:v>
                </c:pt>
                <c:pt idx="3">
                  <c:v>Third-Party &amp; Cloud Cybersecurity</c:v>
                </c:pt>
              </c:strCache>
            </c:strRef>
          </c:cat>
          <c:val>
            <c:numRef>
              <c:f>Dashboard!$E$24:$E$27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4724-4E44-8A67-DCBB612C912B}"/>
            </c:ext>
          </c:extLst>
        </c:ser>
        <c:ser>
          <c:idx val="2"/>
          <c:order val="2"/>
          <c:tx>
            <c:strRef>
              <c:f>Dashboard!$F$23</c:f>
              <c:strCache>
                <c:ptCount val="1"/>
                <c:pt idx="0">
                  <c:v>Non-Comp.</c:v>
                </c:pt>
              </c:strCache>
            </c:strRef>
          </c:tx>
          <c:spPr>
            <a:solidFill>
              <a:srgbClr val="DC262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Dashboard!$B$24:$B$27</c:f>
              <c:strCache>
                <c:ptCount val="4"/>
                <c:pt idx="0">
                  <c:v>Cybersecurity Governance</c:v>
                </c:pt>
                <c:pt idx="1">
                  <c:v>Cybersecurity Defense</c:v>
                </c:pt>
                <c:pt idx="2">
                  <c:v>Cybersecurity Resilience</c:v>
                </c:pt>
                <c:pt idx="3">
                  <c:v>Third-Party &amp; Cloud Cybersecurity</c:v>
                </c:pt>
              </c:strCache>
            </c:strRef>
          </c:cat>
          <c:val>
            <c:numRef>
              <c:f>Dashboard!$F$24:$F$27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4724-4E44-8A67-DCBB612C912B}"/>
            </c:ext>
          </c:extLst>
        </c:ser>
        <c:ser>
          <c:idx val="3"/>
          <c:order val="3"/>
          <c:tx>
            <c:strRef>
              <c:f>Dashboard!$G$23</c:f>
              <c:strCache>
                <c:ptCount val="1"/>
                <c:pt idx="0">
                  <c:v>N/A</c:v>
                </c:pt>
              </c:strCache>
            </c:strRef>
          </c:tx>
          <c:spPr>
            <a:solidFill>
              <a:srgbClr val="9CA3AF"/>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Dashboard!$B$24:$B$27</c:f>
              <c:strCache>
                <c:ptCount val="4"/>
                <c:pt idx="0">
                  <c:v>Cybersecurity Governance</c:v>
                </c:pt>
                <c:pt idx="1">
                  <c:v>Cybersecurity Defense</c:v>
                </c:pt>
                <c:pt idx="2">
                  <c:v>Cybersecurity Resilience</c:v>
                </c:pt>
                <c:pt idx="3">
                  <c:v>Third-Party &amp; Cloud Cybersecurity</c:v>
                </c:pt>
              </c:strCache>
            </c:strRef>
          </c:cat>
          <c:val>
            <c:numRef>
              <c:f>Dashboard!$G$24:$G$27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4724-4E44-8A67-DCBB612C912B}"/>
            </c:ext>
          </c:extLst>
        </c:ser>
        <c:dLbls>
          <c:showLegendKey val="0"/>
          <c:showVal val="0"/>
          <c:showCatName val="0"/>
          <c:showSerName val="0"/>
          <c:showPercent val="0"/>
          <c:showBubbleSize val="0"/>
        </c:dLbls>
        <c:gapWidth val="150"/>
        <c:overlap val="100"/>
        <c:axId val="54530637"/>
        <c:axId val="70278324"/>
      </c:barChart>
      <c:catAx>
        <c:axId val="545306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278324"/>
        <c:crosses val="autoZero"/>
        <c:auto val="1"/>
        <c:lblAlgn val="ctr"/>
        <c:lblOffset val="100"/>
        <c:noMultiLvlLbl val="0"/>
      </c:catAx>
      <c:valAx>
        <c:axId val="7027832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Controls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53063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Compliance Rate by Domain</a:t>
            </a:r>
          </a:p>
        </c:rich>
      </c:tx>
      <c:overlay val="0"/>
      <c:spPr>
        <a:noFill/>
        <a:ln w="0">
          <a:noFill/>
        </a:ln>
      </c:spPr>
    </c:title>
    <c:autoTitleDeleted val="0"/>
    <c:plotArea>
      <c:layout/>
      <c:barChart>
        <c:barDir val="col"/>
        <c:grouping val="clustered"/>
        <c:varyColors val="0"/>
        <c:ser>
          <c:idx val="0"/>
          <c:order val="0"/>
          <c:tx>
            <c:strRef>
              <c:f>Dashboard!$H$23</c:f>
              <c:strCache>
                <c:ptCount val="1"/>
                <c:pt idx="0">
                  <c:v>Compliance %</c:v>
                </c:pt>
              </c:strCache>
            </c:strRef>
          </c:tx>
          <c:spPr>
            <a:solidFill>
              <a:srgbClr val="0A2463"/>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Dashboard!$B$24:$B$27</c:f>
              <c:strCache>
                <c:ptCount val="4"/>
                <c:pt idx="0">
                  <c:v>Cybersecurity Governance</c:v>
                </c:pt>
                <c:pt idx="1">
                  <c:v>Cybersecurity Defense</c:v>
                </c:pt>
                <c:pt idx="2">
                  <c:v>Cybersecurity Resilience</c:v>
                </c:pt>
                <c:pt idx="3">
                  <c:v>Third-Party &amp; Cloud Cybersecurity</c:v>
                </c:pt>
              </c:strCache>
            </c:strRef>
          </c:cat>
          <c:val>
            <c:numRef>
              <c:f>Dashboard!$H$24:$H$27</c:f>
              <c:numCache>
                <c:formatCode>0.0%</c:formatCode>
                <c:ptCount val="4"/>
                <c:pt idx="0">
                  <c:v>0</c:v>
                </c:pt>
                <c:pt idx="1">
                  <c:v>0</c:v>
                </c:pt>
                <c:pt idx="2">
                  <c:v>0</c:v>
                </c:pt>
                <c:pt idx="3">
                  <c:v>0</c:v>
                </c:pt>
              </c:numCache>
            </c:numRef>
          </c:val>
          <c:extLst>
            <c:ext xmlns:c16="http://schemas.microsoft.com/office/drawing/2014/chart" uri="{C3380CC4-5D6E-409C-BE32-E72D297353CC}">
              <c16:uniqueId val="{00000000-166E-4394-9145-02A5619F0F8E}"/>
            </c:ext>
          </c:extLst>
        </c:ser>
        <c:dLbls>
          <c:showLegendKey val="0"/>
          <c:showVal val="0"/>
          <c:showCatName val="0"/>
          <c:showSerName val="0"/>
          <c:showPercent val="0"/>
          <c:showBubbleSize val="0"/>
        </c:dLbls>
        <c:gapWidth val="150"/>
        <c:axId val="46988233"/>
        <c:axId val="91059157"/>
      </c:barChart>
      <c:catAx>
        <c:axId val="469882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059157"/>
        <c:crosses val="autoZero"/>
        <c:auto val="1"/>
        <c:lblAlgn val="ctr"/>
        <c:lblOffset val="100"/>
        <c:noMultiLvlLbl val="0"/>
      </c:catAx>
      <c:valAx>
        <c:axId val="9105915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Compliance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98823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131040</xdr:rowOff>
    </xdr:from>
    <xdr:to>
      <xdr:col>9</xdr:col>
      <xdr:colOff>402840</xdr:colOff>
      <xdr:row>25</xdr:row>
      <xdr:rowOff>69120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27</xdr:row>
      <xdr:rowOff>131040</xdr:rowOff>
    </xdr:from>
    <xdr:to>
      <xdr:col>7</xdr:col>
      <xdr:colOff>448200</xdr:colOff>
      <xdr:row>54</xdr:row>
      <xdr:rowOff>27000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27</xdr:row>
      <xdr:rowOff>131040</xdr:rowOff>
    </xdr:from>
    <xdr:to>
      <xdr:col>9</xdr:col>
      <xdr:colOff>402840</xdr:colOff>
      <xdr:row>50</xdr:row>
      <xdr:rowOff>69120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2463"/>
  </sheetPr>
  <dimension ref="B3:F22"/>
  <sheetViews>
    <sheetView zoomScaleNormal="100" workbookViewId="0"/>
  </sheetViews>
  <sheetFormatPr defaultColWidth="8.6640625" defaultRowHeight="14.4" x14ac:dyDescent="0.3"/>
  <cols>
    <col min="1" max="7" width="18" customWidth="1"/>
  </cols>
  <sheetData>
    <row r="3" spans="2:6" ht="15.6" x14ac:dyDescent="0.3">
      <c r="B3" s="60" t="s">
        <v>0</v>
      </c>
      <c r="C3" s="60"/>
      <c r="D3" s="60"/>
      <c r="E3" s="60"/>
      <c r="F3" s="60"/>
    </row>
    <row r="5" spans="2:6" ht="49.5" customHeight="1" x14ac:dyDescent="0.3">
      <c r="B5" s="61" t="s">
        <v>1</v>
      </c>
      <c r="C5" s="61"/>
      <c r="D5" s="61"/>
      <c r="E5" s="61"/>
      <c r="F5" s="61"/>
    </row>
    <row r="6" spans="2:6" ht="39.75" customHeight="1" x14ac:dyDescent="0.3">
      <c r="B6" s="62" t="s">
        <v>2</v>
      </c>
      <c r="C6" s="62"/>
      <c r="D6" s="62"/>
      <c r="E6" s="62"/>
      <c r="F6" s="62"/>
    </row>
    <row r="9" spans="2:6" x14ac:dyDescent="0.3">
      <c r="B9" s="1" t="s">
        <v>3</v>
      </c>
      <c r="C9" s="58"/>
      <c r="D9" s="58"/>
      <c r="E9" s="58"/>
      <c r="F9" s="58"/>
    </row>
    <row r="10" spans="2:6" x14ac:dyDescent="0.3">
      <c r="B10" s="1" t="s">
        <v>4</v>
      </c>
      <c r="C10" s="58"/>
      <c r="D10" s="58"/>
      <c r="E10" s="58"/>
      <c r="F10" s="58"/>
    </row>
    <row r="11" spans="2:6" x14ac:dyDescent="0.3">
      <c r="B11" s="1" t="s">
        <v>5</v>
      </c>
      <c r="C11" s="58"/>
      <c r="D11" s="58"/>
      <c r="E11" s="58"/>
      <c r="F11" s="58"/>
    </row>
    <row r="12" spans="2:6" x14ac:dyDescent="0.3">
      <c r="B12" s="1" t="s">
        <v>6</v>
      </c>
      <c r="C12" s="58" t="s">
        <v>7</v>
      </c>
      <c r="D12" s="58"/>
      <c r="E12" s="58"/>
      <c r="F12" s="58"/>
    </row>
    <row r="13" spans="2:6" x14ac:dyDescent="0.3">
      <c r="B13" s="1" t="s">
        <v>8</v>
      </c>
      <c r="C13" s="58" t="s">
        <v>9</v>
      </c>
      <c r="D13" s="58"/>
      <c r="E13" s="58"/>
      <c r="F13" s="58"/>
    </row>
    <row r="14" spans="2:6" x14ac:dyDescent="0.3">
      <c r="B14" s="1" t="s">
        <v>10</v>
      </c>
      <c r="C14" s="58" t="s">
        <v>11</v>
      </c>
      <c r="D14" s="58"/>
      <c r="E14" s="58"/>
      <c r="F14" s="58"/>
    </row>
    <row r="15" spans="2:6" x14ac:dyDescent="0.3">
      <c r="B15" s="1" t="s">
        <v>12</v>
      </c>
      <c r="C15" s="58" t="s">
        <v>13</v>
      </c>
      <c r="D15" s="58"/>
      <c r="E15" s="58"/>
      <c r="F15" s="58"/>
    </row>
    <row r="16" spans="2:6" x14ac:dyDescent="0.3">
      <c r="B16" s="1" t="s">
        <v>14</v>
      </c>
      <c r="C16" s="58" t="s">
        <v>15</v>
      </c>
      <c r="D16" s="58"/>
      <c r="E16" s="58"/>
      <c r="F16" s="58"/>
    </row>
    <row r="18" spans="2:6" ht="15" customHeight="1" x14ac:dyDescent="0.3">
      <c r="B18" s="59" t="s">
        <v>16</v>
      </c>
      <c r="C18" s="59"/>
      <c r="D18" s="59"/>
      <c r="E18" s="59"/>
      <c r="F18" s="59"/>
    </row>
    <row r="19" spans="2:6" x14ac:dyDescent="0.3">
      <c r="B19" s="2" t="s">
        <v>17</v>
      </c>
      <c r="C19" s="3" t="s">
        <v>17</v>
      </c>
      <c r="D19" s="57" t="s">
        <v>18</v>
      </c>
      <c r="E19" s="57"/>
      <c r="F19" s="57"/>
    </row>
    <row r="20" spans="2:6" x14ac:dyDescent="0.3">
      <c r="B20" s="4" t="s">
        <v>19</v>
      </c>
      <c r="C20" s="5" t="s">
        <v>19</v>
      </c>
      <c r="D20" s="57" t="s">
        <v>20</v>
      </c>
      <c r="E20" s="57"/>
      <c r="F20" s="57"/>
    </row>
    <row r="21" spans="2:6" x14ac:dyDescent="0.3">
      <c r="B21" s="6" t="s">
        <v>21</v>
      </c>
      <c r="C21" s="7" t="s">
        <v>21</v>
      </c>
      <c r="D21" s="57" t="s">
        <v>22</v>
      </c>
      <c r="E21" s="57"/>
      <c r="F21" s="57"/>
    </row>
    <row r="22" spans="2:6" x14ac:dyDescent="0.3">
      <c r="B22" s="8" t="s">
        <v>23</v>
      </c>
      <c r="C22" s="9" t="s">
        <v>23</v>
      </c>
      <c r="D22" s="57" t="s">
        <v>24</v>
      </c>
      <c r="E22" s="57"/>
      <c r="F22" s="57"/>
    </row>
  </sheetData>
  <mergeCells count="16">
    <mergeCell ref="B3:F3"/>
    <mergeCell ref="B5:F5"/>
    <mergeCell ref="B6:F6"/>
    <mergeCell ref="C9:F9"/>
    <mergeCell ref="C10:F10"/>
    <mergeCell ref="C11:F11"/>
    <mergeCell ref="C12:F12"/>
    <mergeCell ref="C13:F13"/>
    <mergeCell ref="C14:F14"/>
    <mergeCell ref="C15:F15"/>
    <mergeCell ref="D22:F22"/>
    <mergeCell ref="C16:F16"/>
    <mergeCell ref="B18:F18"/>
    <mergeCell ref="D19:F19"/>
    <mergeCell ref="D20:F20"/>
    <mergeCell ref="D21:F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A2463"/>
  </sheetPr>
  <dimension ref="B2:H27"/>
  <sheetViews>
    <sheetView zoomScaleNormal="100" workbookViewId="0"/>
  </sheetViews>
  <sheetFormatPr defaultColWidth="8.6640625" defaultRowHeight="14.4" x14ac:dyDescent="0.3"/>
  <cols>
    <col min="1" max="1" width="14" customWidth="1"/>
    <col min="2" max="2" width="36" customWidth="1"/>
    <col min="3" max="7" width="14" customWidth="1"/>
    <col min="8" max="8" width="20" customWidth="1"/>
    <col min="9" max="12" width="14" customWidth="1"/>
  </cols>
  <sheetData>
    <row r="2" spans="2:8" ht="21" x14ac:dyDescent="0.4">
      <c r="B2" s="63" t="s">
        <v>25</v>
      </c>
      <c r="C2" s="63"/>
      <c r="D2" s="63"/>
      <c r="E2" s="63"/>
      <c r="F2" s="63"/>
      <c r="G2" s="63"/>
      <c r="H2" s="63"/>
    </row>
    <row r="4" spans="2:8" ht="15" customHeight="1" x14ac:dyDescent="0.3">
      <c r="B4" s="64" t="s">
        <v>26</v>
      </c>
      <c r="C4" s="64"/>
      <c r="D4" s="64"/>
    </row>
    <row r="5" spans="2:8" x14ac:dyDescent="0.3">
      <c r="B5" s="10" t="s">
        <v>27</v>
      </c>
      <c r="C5" s="10" t="s">
        <v>28</v>
      </c>
    </row>
    <row r="6" spans="2:8" x14ac:dyDescent="0.3">
      <c r="B6" s="1" t="s">
        <v>29</v>
      </c>
      <c r="C6" s="11" t="s">
        <v>30</v>
      </c>
    </row>
    <row r="7" spans="2:8" x14ac:dyDescent="0.3">
      <c r="B7" s="1" t="s">
        <v>31</v>
      </c>
      <c r="C7" s="11">
        <f>COUNTIF(Assessment!F1:F143,"Compliant")+COUNTIF(Assessment!F1:F143,"Partially Compliant")+COUNTIF(Assessment!F1:F143,"Non-Compliant")+COUNTIF(Assessment!F1:F143,"Not Applicable")</f>
        <v>0</v>
      </c>
    </row>
    <row r="8" spans="2:8" x14ac:dyDescent="0.3">
      <c r="B8" s="1" t="s">
        <v>17</v>
      </c>
      <c r="C8" s="11">
        <f>COUNTIF(Assessment!F1:F143,"Compliant")</f>
        <v>0</v>
      </c>
    </row>
    <row r="9" spans="2:8" x14ac:dyDescent="0.3">
      <c r="B9" s="1" t="s">
        <v>19</v>
      </c>
      <c r="C9" s="11">
        <f>COUNTIF(Assessment!F1:F143,"Partially Compliant")</f>
        <v>0</v>
      </c>
    </row>
    <row r="10" spans="2:8" x14ac:dyDescent="0.3">
      <c r="B10" s="1" t="s">
        <v>21</v>
      </c>
      <c r="C10" s="11">
        <f>COUNTIF(Assessment!F1:F143,"Non-Compliant")</f>
        <v>0</v>
      </c>
    </row>
    <row r="11" spans="2:8" x14ac:dyDescent="0.3">
      <c r="B11" s="1" t="s">
        <v>23</v>
      </c>
      <c r="C11" s="11">
        <f>COUNTIF(Assessment!F1:F143,"Not Applicable")</f>
        <v>0</v>
      </c>
    </row>
    <row r="12" spans="2:8" x14ac:dyDescent="0.3">
      <c r="B12" s="1" t="s">
        <v>32</v>
      </c>
      <c r="C12" s="12">
        <f>IF((COUNTIF(Assessment!F1:F143,"Compliant")+COUNTIF(Assessment!F1:F143,"Partially Compliant")+COUNTIF(Assessment!F1:F143,"Non-Compliant"))&gt;0,COUNTIF(Assessment!F1:F143,"Compliant")/(COUNTIF(Assessment!F1:F143,"Compliant")+COUNTIF(Assessment!F1:F143,"Partially Compliant")+COUNTIF(Assessment!F1:F143,"Non-Compliant")),0)</f>
        <v>0</v>
      </c>
    </row>
    <row r="15" spans="2:8" x14ac:dyDescent="0.3">
      <c r="B15" s="13" t="s">
        <v>33</v>
      </c>
      <c r="C15" s="13" t="s">
        <v>34</v>
      </c>
    </row>
    <row r="16" spans="2:8" x14ac:dyDescent="0.3">
      <c r="B16" s="14" t="s">
        <v>17</v>
      </c>
      <c r="C16" s="14">
        <f>C8</f>
        <v>0</v>
      </c>
    </row>
    <row r="17" spans="2:8" x14ac:dyDescent="0.3">
      <c r="B17" s="14" t="s">
        <v>19</v>
      </c>
      <c r="C17" s="14">
        <f>C9</f>
        <v>0</v>
      </c>
    </row>
    <row r="18" spans="2:8" x14ac:dyDescent="0.3">
      <c r="B18" s="14" t="s">
        <v>21</v>
      </c>
      <c r="C18" s="14">
        <f>C10</f>
        <v>0</v>
      </c>
    </row>
    <row r="19" spans="2:8" x14ac:dyDescent="0.3">
      <c r="B19" s="14" t="s">
        <v>23</v>
      </c>
      <c r="C19" s="14">
        <f>C11</f>
        <v>0</v>
      </c>
    </row>
    <row r="22" spans="2:8" ht="15" customHeight="1" x14ac:dyDescent="0.3">
      <c r="B22" s="65" t="s">
        <v>35</v>
      </c>
      <c r="C22" s="65"/>
      <c r="D22" s="65"/>
      <c r="E22" s="65"/>
      <c r="F22" s="65"/>
      <c r="G22" s="65"/>
      <c r="H22" s="65"/>
    </row>
    <row r="23" spans="2:8" x14ac:dyDescent="0.3">
      <c r="B23" s="10" t="s">
        <v>36</v>
      </c>
      <c r="C23" s="10" t="s">
        <v>37</v>
      </c>
      <c r="D23" s="10" t="s">
        <v>17</v>
      </c>
      <c r="E23" s="10" t="s">
        <v>38</v>
      </c>
      <c r="F23" s="10" t="s">
        <v>39</v>
      </c>
      <c r="G23" s="10" t="s">
        <v>40</v>
      </c>
      <c r="H23" s="10" t="s">
        <v>41</v>
      </c>
    </row>
    <row r="24" spans="2:8" x14ac:dyDescent="0.3">
      <c r="B24" s="1" t="s">
        <v>42</v>
      </c>
      <c r="C24" s="15">
        <v>35</v>
      </c>
      <c r="D24" s="16">
        <f>COUNTIF(Assessment!F6:F49,"Compliant")</f>
        <v>0</v>
      </c>
      <c r="E24" s="17">
        <f>COUNTIF(Assessment!F6:F49,"Partially Compliant")</f>
        <v>0</v>
      </c>
      <c r="F24" s="18">
        <f>COUNTIF(Assessment!F6:F49,"Non-Compliant")</f>
        <v>0</v>
      </c>
      <c r="G24" s="15">
        <f>COUNTIF(Assessment!F6:F49,"Not Applicable")</f>
        <v>0</v>
      </c>
      <c r="H24" s="12">
        <f>IF((D24+E24+F24)&gt;0,D24/(D24+E24+F24),0)</f>
        <v>0</v>
      </c>
    </row>
    <row r="25" spans="2:8" x14ac:dyDescent="0.3">
      <c r="B25" s="1" t="s">
        <v>43</v>
      </c>
      <c r="C25" s="15">
        <v>61</v>
      </c>
      <c r="D25" s="16">
        <f>COUNTIF(Assessment!F52:F126,"Compliant")</f>
        <v>0</v>
      </c>
      <c r="E25" s="17">
        <f>COUNTIF(Assessment!F52:F126,"Partially Compliant")</f>
        <v>0</v>
      </c>
      <c r="F25" s="18">
        <f>COUNTIF(Assessment!F52:F126,"Non-Compliant")</f>
        <v>0</v>
      </c>
      <c r="G25" s="15">
        <f>COUNTIF(Assessment!F52:F126,"Not Applicable")</f>
        <v>0</v>
      </c>
      <c r="H25" s="12">
        <f>IF((D25+E25+F25)&gt;0,D25/(D25+E25+F25),0)</f>
        <v>0</v>
      </c>
    </row>
    <row r="26" spans="2:8" x14ac:dyDescent="0.3">
      <c r="B26" s="1" t="s">
        <v>44</v>
      </c>
      <c r="C26" s="15">
        <v>4</v>
      </c>
      <c r="D26" s="16">
        <f>COUNTIF(Assessment!F129:F132,"Compliant")</f>
        <v>0</v>
      </c>
      <c r="E26" s="17">
        <f>COUNTIF(Assessment!F129:F132,"Partially Compliant")</f>
        <v>0</v>
      </c>
      <c r="F26" s="18">
        <f>COUNTIF(Assessment!F129:F132,"Non-Compliant")</f>
        <v>0</v>
      </c>
      <c r="G26" s="15">
        <f>COUNTIF(Assessment!F129:F132,"Not Applicable")</f>
        <v>0</v>
      </c>
      <c r="H26" s="12">
        <f>IF((D26+E26+F26)&gt;0,D26/(D26+E26+F26),0)</f>
        <v>0</v>
      </c>
    </row>
    <row r="27" spans="2:8" x14ac:dyDescent="0.3">
      <c r="B27" s="1" t="s">
        <v>45</v>
      </c>
      <c r="C27" s="15">
        <v>8</v>
      </c>
      <c r="D27" s="16">
        <f>COUNTIF(Assessment!F135:F143,"Compliant")</f>
        <v>0</v>
      </c>
      <c r="E27" s="17">
        <f>COUNTIF(Assessment!F135:F143,"Partially Compliant")</f>
        <v>0</v>
      </c>
      <c r="F27" s="18">
        <f>COUNTIF(Assessment!F135:F143,"Non-Compliant")</f>
        <v>0</v>
      </c>
      <c r="G27" s="15">
        <f>COUNTIF(Assessment!F135:F143,"Not Applicable")</f>
        <v>0</v>
      </c>
      <c r="H27" s="12">
        <f>IF((D27+E27+F27)&gt;0,D27/(D27+E27+F27),0)</f>
        <v>0</v>
      </c>
    </row>
  </sheetData>
  <mergeCells count="3">
    <mergeCell ref="B2:H2"/>
    <mergeCell ref="B4:D4"/>
    <mergeCell ref="B22:H2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6091"/>
  </sheetPr>
  <dimension ref="A1:I143"/>
  <sheetViews>
    <sheetView tabSelected="1" zoomScale="70" zoomScaleNormal="70" workbookViewId="0">
      <pane ySplit="3" topLeftCell="A4" activePane="bottomLeft" state="frozen"/>
      <selection pane="bottomLeft" activeCell="E8" sqref="E8"/>
    </sheetView>
  </sheetViews>
  <sheetFormatPr defaultColWidth="8.6640625" defaultRowHeight="14.4" x14ac:dyDescent="0.3"/>
  <cols>
    <col min="1" max="1" width="28" customWidth="1"/>
    <col min="2" max="2" width="12" customWidth="1"/>
    <col min="3" max="3" width="30" customWidth="1"/>
    <col min="4" max="4" width="45" customWidth="1"/>
    <col min="5" max="5" width="70" customWidth="1"/>
    <col min="6" max="6" width="20" customWidth="1"/>
    <col min="7" max="7" width="42" customWidth="1"/>
    <col min="8" max="8" width="40" customWidth="1"/>
    <col min="9" max="9" width="35" customWidth="1"/>
  </cols>
  <sheetData>
    <row r="1" spans="1:9" ht="42" customHeight="1" x14ac:dyDescent="0.3">
      <c r="A1" s="54" t="s">
        <v>46</v>
      </c>
      <c r="B1" s="54"/>
      <c r="C1" s="54"/>
      <c r="D1" s="54"/>
      <c r="E1" s="54"/>
      <c r="F1" s="54"/>
      <c r="G1" s="54"/>
      <c r="H1" s="54"/>
      <c r="I1" s="54"/>
    </row>
    <row r="2" spans="1:9" x14ac:dyDescent="0.3">
      <c r="A2" s="55" t="s">
        <v>47</v>
      </c>
      <c r="B2" s="55"/>
      <c r="C2" s="55"/>
      <c r="D2" s="55"/>
      <c r="E2" s="55"/>
      <c r="F2" s="55"/>
      <c r="G2" s="55"/>
      <c r="H2" s="55"/>
      <c r="I2" s="55"/>
    </row>
    <row r="3" spans="1:9" x14ac:dyDescent="0.3">
      <c r="A3" s="41" t="s">
        <v>36</v>
      </c>
      <c r="B3" s="41" t="s">
        <v>48</v>
      </c>
      <c r="C3" s="41" t="s">
        <v>49</v>
      </c>
      <c r="D3" s="41" t="s">
        <v>50</v>
      </c>
      <c r="E3" s="41" t="s">
        <v>51</v>
      </c>
      <c r="F3" s="41" t="s">
        <v>33</v>
      </c>
      <c r="G3" s="41" t="s">
        <v>52</v>
      </c>
      <c r="H3" s="41" t="s">
        <v>53</v>
      </c>
      <c r="I3" s="41" t="s">
        <v>54</v>
      </c>
    </row>
    <row r="4" spans="1:9" ht="31.5" customHeight="1" x14ac:dyDescent="0.3">
      <c r="A4" s="56" t="s">
        <v>55</v>
      </c>
      <c r="B4" s="56"/>
      <c r="C4" s="56"/>
      <c r="D4" s="56"/>
      <c r="E4" s="56"/>
      <c r="F4" s="56"/>
      <c r="G4" s="56"/>
      <c r="H4" s="56"/>
      <c r="I4" s="56"/>
    </row>
    <row r="5" spans="1:9" ht="27.75" customHeight="1" x14ac:dyDescent="0.3">
      <c r="A5" s="51" t="s">
        <v>56</v>
      </c>
      <c r="B5" s="51"/>
      <c r="C5" s="51"/>
      <c r="D5" s="51"/>
      <c r="E5" s="51"/>
      <c r="F5" s="51"/>
      <c r="G5" s="51"/>
      <c r="H5" s="51"/>
      <c r="I5" s="51"/>
    </row>
    <row r="6" spans="1:9" ht="51.75" customHeight="1" x14ac:dyDescent="0.3">
      <c r="A6" s="42" t="s">
        <v>57</v>
      </c>
      <c r="B6" s="43" t="s">
        <v>58</v>
      </c>
      <c r="C6" s="42" t="s">
        <v>59</v>
      </c>
      <c r="D6" s="44" t="s">
        <v>60</v>
      </c>
      <c r="E6" s="44" t="s">
        <v>61</v>
      </c>
      <c r="F6" s="45"/>
      <c r="G6" s="46"/>
      <c r="H6" s="47"/>
      <c r="I6" s="47"/>
    </row>
    <row r="7" spans="1:9" ht="51.75" customHeight="1" x14ac:dyDescent="0.3">
      <c r="A7" s="42" t="s">
        <v>57</v>
      </c>
      <c r="B7" s="43" t="s">
        <v>62</v>
      </c>
      <c r="C7" s="42" t="s">
        <v>59</v>
      </c>
      <c r="D7" s="44" t="s">
        <v>63</v>
      </c>
      <c r="E7" s="44" t="s">
        <v>64</v>
      </c>
      <c r="F7" s="45"/>
      <c r="G7" s="46"/>
      <c r="H7" s="47"/>
      <c r="I7" s="47"/>
    </row>
    <row r="8" spans="1:9" ht="51.75" customHeight="1" x14ac:dyDescent="0.3">
      <c r="A8" s="42" t="s">
        <v>57</v>
      </c>
      <c r="B8" s="43" t="s">
        <v>65</v>
      </c>
      <c r="C8" s="42" t="s">
        <v>59</v>
      </c>
      <c r="D8" s="44" t="s">
        <v>66</v>
      </c>
      <c r="E8" s="44" t="s">
        <v>67</v>
      </c>
      <c r="F8" s="45"/>
      <c r="G8" s="46"/>
      <c r="H8" s="47"/>
      <c r="I8" s="47"/>
    </row>
    <row r="9" spans="1:9" ht="27.75" customHeight="1" x14ac:dyDescent="0.3">
      <c r="A9" s="51" t="s">
        <v>68</v>
      </c>
      <c r="B9" s="51"/>
      <c r="C9" s="51"/>
      <c r="D9" s="51"/>
      <c r="E9" s="51"/>
      <c r="F9" s="51"/>
      <c r="G9" s="51"/>
      <c r="H9" s="51"/>
      <c r="I9" s="51"/>
    </row>
    <row r="10" spans="1:9" ht="51.75" customHeight="1" x14ac:dyDescent="0.3">
      <c r="A10" s="42" t="s">
        <v>57</v>
      </c>
      <c r="B10" s="43" t="s">
        <v>69</v>
      </c>
      <c r="C10" s="42" t="s">
        <v>70</v>
      </c>
      <c r="D10" s="44" t="s">
        <v>71</v>
      </c>
      <c r="E10" s="44" t="s">
        <v>72</v>
      </c>
      <c r="F10" s="45"/>
      <c r="G10" s="46"/>
      <c r="H10" s="47"/>
      <c r="I10" s="47"/>
    </row>
    <row r="11" spans="1:9" ht="51.75" customHeight="1" x14ac:dyDescent="0.3">
      <c r="A11" s="42" t="s">
        <v>57</v>
      </c>
      <c r="B11" s="43" t="s">
        <v>73</v>
      </c>
      <c r="C11" s="42" t="s">
        <v>70</v>
      </c>
      <c r="D11" s="44" t="s">
        <v>74</v>
      </c>
      <c r="E11" s="44" t="s">
        <v>75</v>
      </c>
      <c r="F11" s="45"/>
      <c r="G11" s="46"/>
      <c r="H11" s="47"/>
      <c r="I11" s="47"/>
    </row>
    <row r="12" spans="1:9" ht="51.75" customHeight="1" x14ac:dyDescent="0.3">
      <c r="A12" s="42" t="s">
        <v>57</v>
      </c>
      <c r="B12" s="43" t="s">
        <v>76</v>
      </c>
      <c r="C12" s="42" t="s">
        <v>70</v>
      </c>
      <c r="D12" s="44" t="s">
        <v>77</v>
      </c>
      <c r="E12" s="44" t="s">
        <v>78</v>
      </c>
      <c r="F12" s="45"/>
      <c r="G12" s="46"/>
      <c r="H12" s="47"/>
      <c r="I12" s="47"/>
    </row>
    <row r="13" spans="1:9" ht="27.75" customHeight="1" x14ac:dyDescent="0.3">
      <c r="A13" s="51" t="s">
        <v>79</v>
      </c>
      <c r="B13" s="51"/>
      <c r="C13" s="51"/>
      <c r="D13" s="51"/>
      <c r="E13" s="51"/>
      <c r="F13" s="51"/>
      <c r="G13" s="51"/>
      <c r="H13" s="51"/>
      <c r="I13" s="51"/>
    </row>
    <row r="14" spans="1:9" ht="51.75" customHeight="1" x14ac:dyDescent="0.3">
      <c r="A14" s="42" t="s">
        <v>57</v>
      </c>
      <c r="B14" s="43" t="s">
        <v>80</v>
      </c>
      <c r="C14" s="42" t="s">
        <v>81</v>
      </c>
      <c r="D14" s="44" t="s">
        <v>82</v>
      </c>
      <c r="E14" s="44" t="s">
        <v>83</v>
      </c>
      <c r="F14" s="45"/>
      <c r="G14" s="46"/>
      <c r="H14" s="47"/>
      <c r="I14" s="47"/>
    </row>
    <row r="15" spans="1:9" ht="51.75" customHeight="1" x14ac:dyDescent="0.3">
      <c r="A15" s="42" t="s">
        <v>57</v>
      </c>
      <c r="B15" s="43" t="s">
        <v>84</v>
      </c>
      <c r="C15" s="42" t="s">
        <v>81</v>
      </c>
      <c r="D15" s="44" t="s">
        <v>85</v>
      </c>
      <c r="E15" s="44" t="s">
        <v>86</v>
      </c>
      <c r="F15" s="45"/>
      <c r="G15" s="46"/>
      <c r="H15" s="47"/>
      <c r="I15" s="47"/>
    </row>
    <row r="16" spans="1:9" ht="51.75" customHeight="1" x14ac:dyDescent="0.3">
      <c r="A16" s="42" t="s">
        <v>57</v>
      </c>
      <c r="B16" s="43" t="s">
        <v>87</v>
      </c>
      <c r="C16" s="42" t="s">
        <v>81</v>
      </c>
      <c r="D16" s="44" t="s">
        <v>88</v>
      </c>
      <c r="E16" s="44" t="s">
        <v>89</v>
      </c>
      <c r="F16" s="45"/>
      <c r="G16" s="46"/>
      <c r="H16" s="47"/>
      <c r="I16" s="47"/>
    </row>
    <row r="17" spans="1:9" ht="51.75" customHeight="1" x14ac:dyDescent="0.3">
      <c r="A17" s="42" t="s">
        <v>57</v>
      </c>
      <c r="B17" s="43" t="s">
        <v>90</v>
      </c>
      <c r="C17" s="42" t="s">
        <v>81</v>
      </c>
      <c r="D17" s="44" t="s">
        <v>91</v>
      </c>
      <c r="E17" s="44" t="s">
        <v>92</v>
      </c>
      <c r="F17" s="45"/>
      <c r="G17" s="46"/>
      <c r="H17" s="47"/>
      <c r="I17" s="47"/>
    </row>
    <row r="18" spans="1:9" ht="27.75" customHeight="1" x14ac:dyDescent="0.3">
      <c r="A18" s="51" t="s">
        <v>93</v>
      </c>
      <c r="B18" s="51"/>
      <c r="C18" s="51"/>
      <c r="D18" s="51"/>
      <c r="E18" s="51"/>
      <c r="F18" s="51"/>
      <c r="G18" s="51"/>
      <c r="H18" s="51"/>
      <c r="I18" s="51"/>
    </row>
    <row r="19" spans="1:9" ht="51.75" customHeight="1" x14ac:dyDescent="0.3">
      <c r="A19" s="42" t="s">
        <v>57</v>
      </c>
      <c r="B19" s="43" t="s">
        <v>94</v>
      </c>
      <c r="C19" s="42" t="s">
        <v>95</v>
      </c>
      <c r="D19" s="44" t="s">
        <v>96</v>
      </c>
      <c r="E19" s="44" t="s">
        <v>97</v>
      </c>
      <c r="F19" s="45"/>
      <c r="G19" s="46"/>
      <c r="H19" s="47"/>
      <c r="I19" s="47"/>
    </row>
    <row r="20" spans="1:9" ht="51.75" customHeight="1" x14ac:dyDescent="0.3">
      <c r="A20" s="42" t="s">
        <v>57</v>
      </c>
      <c r="B20" s="43" t="s">
        <v>98</v>
      </c>
      <c r="C20" s="42" t="s">
        <v>95</v>
      </c>
      <c r="D20" s="44" t="s">
        <v>99</v>
      </c>
      <c r="E20" s="44" t="s">
        <v>100</v>
      </c>
      <c r="F20" s="45"/>
      <c r="G20" s="46"/>
      <c r="H20" s="47"/>
      <c r="I20" s="47"/>
    </row>
    <row r="21" spans="1:9" ht="27.75" customHeight="1" x14ac:dyDescent="0.3">
      <c r="A21" s="51" t="s">
        <v>101</v>
      </c>
      <c r="B21" s="51"/>
      <c r="C21" s="51"/>
      <c r="D21" s="51"/>
      <c r="E21" s="51"/>
      <c r="F21" s="51"/>
      <c r="G21" s="51"/>
      <c r="H21" s="51"/>
      <c r="I21" s="51"/>
    </row>
    <row r="22" spans="1:9" ht="51.75" customHeight="1" x14ac:dyDescent="0.3">
      <c r="A22" s="42" t="s">
        <v>57</v>
      </c>
      <c r="B22" s="43" t="s">
        <v>102</v>
      </c>
      <c r="C22" s="42" t="s">
        <v>103</v>
      </c>
      <c r="D22" s="44" t="s">
        <v>104</v>
      </c>
      <c r="E22" s="44" t="s">
        <v>105</v>
      </c>
      <c r="F22" s="45"/>
      <c r="G22" s="46"/>
      <c r="H22" s="47"/>
      <c r="I22" s="47"/>
    </row>
    <row r="23" spans="1:9" ht="51.75" customHeight="1" x14ac:dyDescent="0.3">
      <c r="A23" s="42" t="s">
        <v>57</v>
      </c>
      <c r="B23" s="43" t="s">
        <v>106</v>
      </c>
      <c r="C23" s="42" t="s">
        <v>103</v>
      </c>
      <c r="D23" s="44" t="s">
        <v>107</v>
      </c>
      <c r="E23" s="44" t="s">
        <v>108</v>
      </c>
      <c r="F23" s="45"/>
      <c r="G23" s="46"/>
      <c r="H23" s="47"/>
      <c r="I23" s="47"/>
    </row>
    <row r="24" spans="1:9" ht="51.75" customHeight="1" x14ac:dyDescent="0.3">
      <c r="A24" s="42" t="s">
        <v>57</v>
      </c>
      <c r="B24" s="43" t="s">
        <v>109</v>
      </c>
      <c r="C24" s="42" t="s">
        <v>103</v>
      </c>
      <c r="D24" s="44" t="s">
        <v>110</v>
      </c>
      <c r="E24" s="44" t="s">
        <v>111</v>
      </c>
      <c r="F24" s="45"/>
      <c r="G24" s="46"/>
      <c r="H24" s="47"/>
      <c r="I24" s="47"/>
    </row>
    <row r="25" spans="1:9" ht="51.75" customHeight="1" x14ac:dyDescent="0.3">
      <c r="A25" s="42" t="s">
        <v>57</v>
      </c>
      <c r="B25" s="43" t="s">
        <v>112</v>
      </c>
      <c r="C25" s="42" t="s">
        <v>103</v>
      </c>
      <c r="D25" s="44" t="s">
        <v>113</v>
      </c>
      <c r="E25" s="44" t="s">
        <v>114</v>
      </c>
      <c r="F25" s="45"/>
      <c r="G25" s="46"/>
      <c r="H25" s="47"/>
      <c r="I25" s="47"/>
    </row>
    <row r="26" spans="1:9" ht="27.75" customHeight="1" x14ac:dyDescent="0.3">
      <c r="A26" s="51" t="s">
        <v>115</v>
      </c>
      <c r="B26" s="51"/>
      <c r="C26" s="51"/>
      <c r="D26" s="51"/>
      <c r="E26" s="51"/>
      <c r="F26" s="51"/>
      <c r="G26" s="51"/>
      <c r="H26" s="51"/>
      <c r="I26" s="51"/>
    </row>
    <row r="27" spans="1:9" ht="51.75" customHeight="1" x14ac:dyDescent="0.3">
      <c r="A27" s="42" t="s">
        <v>57</v>
      </c>
      <c r="B27" s="43" t="s">
        <v>116</v>
      </c>
      <c r="C27" s="42" t="s">
        <v>117</v>
      </c>
      <c r="D27" s="44" t="s">
        <v>118</v>
      </c>
      <c r="E27" s="44" t="s">
        <v>119</v>
      </c>
      <c r="F27" s="45"/>
      <c r="G27" s="46"/>
      <c r="H27" s="47"/>
      <c r="I27" s="47"/>
    </row>
    <row r="28" spans="1:9" ht="51.75" customHeight="1" x14ac:dyDescent="0.3">
      <c r="A28" s="42" t="s">
        <v>57</v>
      </c>
      <c r="B28" s="43" t="s">
        <v>120</v>
      </c>
      <c r="C28" s="42" t="s">
        <v>117</v>
      </c>
      <c r="D28" s="44" t="s">
        <v>121</v>
      </c>
      <c r="E28" s="44" t="s">
        <v>122</v>
      </c>
      <c r="F28" s="45"/>
      <c r="G28" s="46"/>
      <c r="H28" s="47"/>
      <c r="I28" s="47"/>
    </row>
    <row r="29" spans="1:9" ht="51.75" customHeight="1" x14ac:dyDescent="0.3">
      <c r="A29" s="42" t="s">
        <v>57</v>
      </c>
      <c r="B29" s="43" t="s">
        <v>123</v>
      </c>
      <c r="C29" s="42" t="s">
        <v>117</v>
      </c>
      <c r="D29" s="44" t="s">
        <v>124</v>
      </c>
      <c r="E29" s="44" t="s">
        <v>125</v>
      </c>
      <c r="F29" s="45"/>
      <c r="G29" s="46"/>
      <c r="H29" s="47"/>
      <c r="I29" s="47"/>
    </row>
    <row r="30" spans="1:9" ht="51.75" customHeight="1" x14ac:dyDescent="0.3">
      <c r="A30" s="42" t="s">
        <v>57</v>
      </c>
      <c r="B30" s="43" t="s">
        <v>126</v>
      </c>
      <c r="C30" s="42" t="s">
        <v>117</v>
      </c>
      <c r="D30" s="44" t="s">
        <v>127</v>
      </c>
      <c r="E30" s="44" t="s">
        <v>128</v>
      </c>
      <c r="F30" s="45"/>
      <c r="G30" s="46"/>
      <c r="H30" s="47"/>
      <c r="I30" s="47"/>
    </row>
    <row r="31" spans="1:9" ht="27.75" customHeight="1" x14ac:dyDescent="0.3">
      <c r="A31" s="51" t="s">
        <v>129</v>
      </c>
      <c r="B31" s="51"/>
      <c r="C31" s="51"/>
      <c r="D31" s="51"/>
      <c r="E31" s="51"/>
      <c r="F31" s="51"/>
      <c r="G31" s="51"/>
      <c r="H31" s="51"/>
      <c r="I31" s="51"/>
    </row>
    <row r="32" spans="1:9" ht="51.75" customHeight="1" x14ac:dyDescent="0.3">
      <c r="A32" s="42" t="s">
        <v>57</v>
      </c>
      <c r="B32" s="43" t="s">
        <v>130</v>
      </c>
      <c r="C32" s="42" t="s">
        <v>131</v>
      </c>
      <c r="D32" s="44" t="s">
        <v>132</v>
      </c>
      <c r="E32" s="44" t="s">
        <v>133</v>
      </c>
      <c r="F32" s="45"/>
      <c r="G32" s="46"/>
      <c r="H32" s="47"/>
      <c r="I32" s="47"/>
    </row>
    <row r="33" spans="1:9" ht="27.75" customHeight="1" x14ac:dyDescent="0.3">
      <c r="A33" s="51" t="s">
        <v>134</v>
      </c>
      <c r="B33" s="51"/>
      <c r="C33" s="51"/>
      <c r="D33" s="51"/>
      <c r="E33" s="51"/>
      <c r="F33" s="51"/>
      <c r="G33" s="51"/>
      <c r="H33" s="51"/>
      <c r="I33" s="51"/>
    </row>
    <row r="34" spans="1:9" ht="51.75" customHeight="1" x14ac:dyDescent="0.3">
      <c r="A34" s="42" t="s">
        <v>57</v>
      </c>
      <c r="B34" s="43" t="s">
        <v>135</v>
      </c>
      <c r="C34" s="42" t="s">
        <v>136</v>
      </c>
      <c r="D34" s="44" t="s">
        <v>137</v>
      </c>
      <c r="E34" s="44" t="s">
        <v>138</v>
      </c>
      <c r="F34" s="45"/>
      <c r="G34" s="46"/>
      <c r="H34" s="47"/>
      <c r="I34" s="47"/>
    </row>
    <row r="35" spans="1:9" ht="51.75" customHeight="1" x14ac:dyDescent="0.3">
      <c r="A35" s="42" t="s">
        <v>57</v>
      </c>
      <c r="B35" s="43" t="s">
        <v>139</v>
      </c>
      <c r="C35" s="42" t="s">
        <v>136</v>
      </c>
      <c r="D35" s="44" t="s">
        <v>140</v>
      </c>
      <c r="E35" s="44" t="s">
        <v>141</v>
      </c>
      <c r="F35" s="45"/>
      <c r="G35" s="46"/>
      <c r="H35" s="47"/>
      <c r="I35" s="47"/>
    </row>
    <row r="36" spans="1:9" ht="51.75" customHeight="1" x14ac:dyDescent="0.3">
      <c r="A36" s="42" t="s">
        <v>57</v>
      </c>
      <c r="B36" s="43" t="s">
        <v>142</v>
      </c>
      <c r="C36" s="42" t="s">
        <v>136</v>
      </c>
      <c r="D36" s="44" t="s">
        <v>143</v>
      </c>
      <c r="E36" s="44" t="s">
        <v>144</v>
      </c>
      <c r="F36" s="45"/>
      <c r="G36" s="46"/>
      <c r="H36" s="47"/>
      <c r="I36" s="47"/>
    </row>
    <row r="37" spans="1:9" ht="27.75" customHeight="1" x14ac:dyDescent="0.3">
      <c r="A37" s="51" t="s">
        <v>145</v>
      </c>
      <c r="B37" s="51"/>
      <c r="C37" s="51"/>
      <c r="D37" s="51"/>
      <c r="E37" s="51"/>
      <c r="F37" s="51"/>
      <c r="G37" s="51"/>
      <c r="H37" s="51"/>
      <c r="I37" s="51"/>
    </row>
    <row r="38" spans="1:9" ht="51.75" customHeight="1" x14ac:dyDescent="0.3">
      <c r="A38" s="42" t="s">
        <v>57</v>
      </c>
      <c r="B38" s="43" t="s">
        <v>146</v>
      </c>
      <c r="C38" s="42" t="s">
        <v>147</v>
      </c>
      <c r="D38" s="44" t="s">
        <v>148</v>
      </c>
      <c r="E38" s="44" t="s">
        <v>149</v>
      </c>
      <c r="F38" s="45"/>
      <c r="G38" s="46"/>
      <c r="H38" s="47"/>
      <c r="I38" s="47"/>
    </row>
    <row r="39" spans="1:9" ht="51.75" customHeight="1" x14ac:dyDescent="0.3">
      <c r="A39" s="42" t="s">
        <v>57</v>
      </c>
      <c r="B39" s="43" t="s">
        <v>150</v>
      </c>
      <c r="C39" s="42" t="s">
        <v>147</v>
      </c>
      <c r="D39" s="44" t="s">
        <v>151</v>
      </c>
      <c r="E39" s="44" t="s">
        <v>152</v>
      </c>
      <c r="F39" s="45"/>
      <c r="G39" s="46"/>
      <c r="H39" s="47"/>
      <c r="I39" s="47"/>
    </row>
    <row r="40" spans="1:9" ht="51.75" customHeight="1" x14ac:dyDescent="0.3">
      <c r="A40" s="42" t="s">
        <v>57</v>
      </c>
      <c r="B40" s="43" t="s">
        <v>153</v>
      </c>
      <c r="C40" s="42" t="s">
        <v>147</v>
      </c>
      <c r="D40" s="44" t="s">
        <v>154</v>
      </c>
      <c r="E40" s="44" t="s">
        <v>155</v>
      </c>
      <c r="F40" s="45"/>
      <c r="G40" s="46"/>
      <c r="H40" s="47"/>
      <c r="I40" s="47"/>
    </row>
    <row r="41" spans="1:9" ht="51.75" customHeight="1" x14ac:dyDescent="0.3">
      <c r="A41" s="42" t="s">
        <v>57</v>
      </c>
      <c r="B41" s="43" t="s">
        <v>156</v>
      </c>
      <c r="C41" s="42" t="s">
        <v>147</v>
      </c>
      <c r="D41" s="44" t="s">
        <v>157</v>
      </c>
      <c r="E41" s="44" t="s">
        <v>158</v>
      </c>
      <c r="F41" s="45"/>
      <c r="G41" s="46"/>
      <c r="H41" s="47"/>
      <c r="I41" s="47"/>
    </row>
    <row r="42" spans="1:9" ht="51.75" customHeight="1" x14ac:dyDescent="0.3">
      <c r="A42" s="42" t="s">
        <v>57</v>
      </c>
      <c r="B42" s="43" t="s">
        <v>159</v>
      </c>
      <c r="C42" s="42" t="s">
        <v>147</v>
      </c>
      <c r="D42" s="44" t="s">
        <v>160</v>
      </c>
      <c r="E42" s="44" t="s">
        <v>161</v>
      </c>
      <c r="F42" s="45"/>
      <c r="G42" s="46"/>
      <c r="H42" s="47"/>
      <c r="I42" s="47"/>
    </row>
    <row r="43" spans="1:9" ht="51.75" customHeight="1" x14ac:dyDescent="0.3">
      <c r="A43" s="42" t="s">
        <v>57</v>
      </c>
      <c r="B43" s="43" t="s">
        <v>162</v>
      </c>
      <c r="C43" s="42" t="s">
        <v>147</v>
      </c>
      <c r="D43" s="44" t="s">
        <v>163</v>
      </c>
      <c r="E43" s="44" t="s">
        <v>164</v>
      </c>
      <c r="F43" s="45"/>
      <c r="G43" s="46"/>
      <c r="H43" s="47"/>
      <c r="I43" s="47"/>
    </row>
    <row r="44" spans="1:9" ht="27.75" customHeight="1" x14ac:dyDescent="0.3">
      <c r="A44" s="51" t="s">
        <v>165</v>
      </c>
      <c r="B44" s="51"/>
      <c r="C44" s="51"/>
      <c r="D44" s="51"/>
      <c r="E44" s="51"/>
      <c r="F44" s="51"/>
      <c r="G44" s="51"/>
      <c r="H44" s="51"/>
      <c r="I44" s="51"/>
    </row>
    <row r="45" spans="1:9" ht="51.75" customHeight="1" x14ac:dyDescent="0.3">
      <c r="A45" s="42" t="s">
        <v>57</v>
      </c>
      <c r="B45" s="43" t="s">
        <v>166</v>
      </c>
      <c r="C45" s="42" t="s">
        <v>167</v>
      </c>
      <c r="D45" s="44" t="s">
        <v>168</v>
      </c>
      <c r="E45" s="44" t="s">
        <v>169</v>
      </c>
      <c r="F45" s="45"/>
      <c r="G45" s="46"/>
      <c r="H45" s="47"/>
      <c r="I45" s="47"/>
    </row>
    <row r="46" spans="1:9" ht="51.75" customHeight="1" x14ac:dyDescent="0.3">
      <c r="A46" s="42" t="s">
        <v>57</v>
      </c>
      <c r="B46" s="43" t="s">
        <v>170</v>
      </c>
      <c r="C46" s="42" t="s">
        <v>167</v>
      </c>
      <c r="D46" s="44" t="s">
        <v>171</v>
      </c>
      <c r="E46" s="44" t="s">
        <v>172</v>
      </c>
      <c r="F46" s="45"/>
      <c r="G46" s="46"/>
      <c r="H46" s="47"/>
      <c r="I46" s="47"/>
    </row>
    <row r="47" spans="1:9" ht="51.75" customHeight="1" x14ac:dyDescent="0.3">
      <c r="A47" s="42" t="s">
        <v>57</v>
      </c>
      <c r="B47" s="43" t="s">
        <v>173</v>
      </c>
      <c r="C47" s="42" t="s">
        <v>167</v>
      </c>
      <c r="D47" s="44" t="s">
        <v>174</v>
      </c>
      <c r="E47" s="44" t="s">
        <v>175</v>
      </c>
      <c r="F47" s="45"/>
      <c r="G47" s="46"/>
      <c r="H47" s="47"/>
      <c r="I47" s="47"/>
    </row>
    <row r="48" spans="1:9" ht="51.75" customHeight="1" x14ac:dyDescent="0.3">
      <c r="A48" s="42" t="s">
        <v>57</v>
      </c>
      <c r="B48" s="43" t="s">
        <v>176</v>
      </c>
      <c r="C48" s="42" t="s">
        <v>167</v>
      </c>
      <c r="D48" s="44" t="s">
        <v>177</v>
      </c>
      <c r="E48" s="44" t="s">
        <v>178</v>
      </c>
      <c r="F48" s="45"/>
      <c r="G48" s="46"/>
      <c r="H48" s="47"/>
      <c r="I48" s="47"/>
    </row>
    <row r="49" spans="1:9" ht="51.75" customHeight="1" x14ac:dyDescent="0.3">
      <c r="A49" s="42" t="s">
        <v>57</v>
      </c>
      <c r="B49" s="43" t="s">
        <v>179</v>
      </c>
      <c r="C49" s="42" t="s">
        <v>167</v>
      </c>
      <c r="D49" s="44" t="s">
        <v>180</v>
      </c>
      <c r="E49" s="44" t="s">
        <v>181</v>
      </c>
      <c r="F49" s="45"/>
      <c r="G49" s="46"/>
      <c r="H49" s="47"/>
      <c r="I49" s="47"/>
    </row>
    <row r="50" spans="1:9" ht="31.5" customHeight="1" x14ac:dyDescent="0.3">
      <c r="A50" s="53" t="s">
        <v>182</v>
      </c>
      <c r="B50" s="53"/>
      <c r="C50" s="53"/>
      <c r="D50" s="53"/>
      <c r="E50" s="53"/>
      <c r="F50" s="53"/>
      <c r="G50" s="53"/>
      <c r="H50" s="53"/>
      <c r="I50" s="53"/>
    </row>
    <row r="51" spans="1:9" ht="27.75" customHeight="1" x14ac:dyDescent="0.3">
      <c r="A51" s="51" t="s">
        <v>183</v>
      </c>
      <c r="B51" s="51"/>
      <c r="C51" s="51"/>
      <c r="D51" s="51"/>
      <c r="E51" s="51"/>
      <c r="F51" s="51"/>
      <c r="G51" s="51"/>
      <c r="H51" s="51"/>
      <c r="I51" s="51"/>
    </row>
    <row r="52" spans="1:9" ht="51.75" customHeight="1" x14ac:dyDescent="0.3">
      <c r="A52" s="42" t="s">
        <v>184</v>
      </c>
      <c r="B52" s="43" t="s">
        <v>185</v>
      </c>
      <c r="C52" s="42" t="s">
        <v>186</v>
      </c>
      <c r="D52" s="44" t="s">
        <v>187</v>
      </c>
      <c r="E52" s="44" t="s">
        <v>188</v>
      </c>
      <c r="F52" s="45"/>
      <c r="G52" s="46"/>
      <c r="H52" s="47"/>
      <c r="I52" s="47"/>
    </row>
    <row r="53" spans="1:9" ht="51.75" customHeight="1" x14ac:dyDescent="0.3">
      <c r="A53" s="42" t="s">
        <v>184</v>
      </c>
      <c r="B53" s="43" t="s">
        <v>189</v>
      </c>
      <c r="C53" s="42" t="s">
        <v>186</v>
      </c>
      <c r="D53" s="44" t="s">
        <v>190</v>
      </c>
      <c r="E53" s="44" t="s">
        <v>191</v>
      </c>
      <c r="F53" s="45"/>
      <c r="G53" s="46"/>
      <c r="H53" s="47"/>
      <c r="I53" s="47"/>
    </row>
    <row r="54" spans="1:9" ht="51.75" customHeight="1" x14ac:dyDescent="0.3">
      <c r="A54" s="42" t="s">
        <v>184</v>
      </c>
      <c r="B54" s="43" t="s">
        <v>192</v>
      </c>
      <c r="C54" s="42" t="s">
        <v>186</v>
      </c>
      <c r="D54" s="44" t="s">
        <v>193</v>
      </c>
      <c r="E54" s="44" t="s">
        <v>194</v>
      </c>
      <c r="F54" s="45"/>
      <c r="G54" s="46"/>
      <c r="H54" s="47"/>
      <c r="I54" s="47"/>
    </row>
    <row r="55" spans="1:9" ht="51.75" customHeight="1" x14ac:dyDescent="0.3">
      <c r="A55" s="42" t="s">
        <v>184</v>
      </c>
      <c r="B55" s="43" t="s">
        <v>195</v>
      </c>
      <c r="C55" s="42" t="s">
        <v>186</v>
      </c>
      <c r="D55" s="44" t="s">
        <v>196</v>
      </c>
      <c r="E55" s="44" t="s">
        <v>197</v>
      </c>
      <c r="F55" s="45"/>
      <c r="G55" s="46"/>
      <c r="H55" s="47"/>
      <c r="I55" s="47"/>
    </row>
    <row r="56" spans="1:9" ht="51.75" customHeight="1" x14ac:dyDescent="0.3">
      <c r="A56" s="42" t="s">
        <v>184</v>
      </c>
      <c r="B56" s="43" t="s">
        <v>198</v>
      </c>
      <c r="C56" s="42" t="s">
        <v>186</v>
      </c>
      <c r="D56" s="44" t="s">
        <v>199</v>
      </c>
      <c r="E56" s="44" t="s">
        <v>200</v>
      </c>
      <c r="F56" s="45"/>
      <c r="G56" s="46"/>
      <c r="H56" s="47"/>
      <c r="I56" s="47"/>
    </row>
    <row r="57" spans="1:9" ht="51.75" customHeight="1" x14ac:dyDescent="0.3">
      <c r="A57" s="42" t="s">
        <v>184</v>
      </c>
      <c r="B57" s="43" t="s">
        <v>201</v>
      </c>
      <c r="C57" s="42" t="s">
        <v>186</v>
      </c>
      <c r="D57" s="44" t="s">
        <v>202</v>
      </c>
      <c r="E57" s="44" t="s">
        <v>203</v>
      </c>
      <c r="F57" s="45"/>
      <c r="G57" s="46"/>
      <c r="H57" s="47"/>
      <c r="I57" s="47"/>
    </row>
    <row r="58" spans="1:9" ht="27.75" customHeight="1" x14ac:dyDescent="0.3">
      <c r="A58" s="51" t="s">
        <v>204</v>
      </c>
      <c r="B58" s="51"/>
      <c r="C58" s="51"/>
      <c r="D58" s="51"/>
      <c r="E58" s="51"/>
      <c r="F58" s="51"/>
      <c r="G58" s="51"/>
      <c r="H58" s="51"/>
      <c r="I58" s="51"/>
    </row>
    <row r="59" spans="1:9" ht="51.75" customHeight="1" x14ac:dyDescent="0.3">
      <c r="A59" s="42" t="s">
        <v>184</v>
      </c>
      <c r="B59" s="43" t="s">
        <v>205</v>
      </c>
      <c r="C59" s="42" t="s">
        <v>206</v>
      </c>
      <c r="D59" s="44" t="s">
        <v>207</v>
      </c>
      <c r="E59" s="44" t="s">
        <v>208</v>
      </c>
      <c r="F59" s="45"/>
      <c r="G59" s="46"/>
      <c r="H59" s="47"/>
      <c r="I59" s="47"/>
    </row>
    <row r="60" spans="1:9" ht="51.75" customHeight="1" x14ac:dyDescent="0.3">
      <c r="A60" s="42" t="s">
        <v>184</v>
      </c>
      <c r="B60" s="43" t="s">
        <v>209</v>
      </c>
      <c r="C60" s="42" t="s">
        <v>206</v>
      </c>
      <c r="D60" s="44" t="s">
        <v>210</v>
      </c>
      <c r="E60" s="44" t="s">
        <v>211</v>
      </c>
      <c r="F60" s="45"/>
      <c r="G60" s="46"/>
      <c r="H60" s="47"/>
      <c r="I60" s="47"/>
    </row>
    <row r="61" spans="1:9" ht="51.75" customHeight="1" x14ac:dyDescent="0.3">
      <c r="A61" s="42" t="s">
        <v>184</v>
      </c>
      <c r="B61" s="43" t="s">
        <v>212</v>
      </c>
      <c r="C61" s="42" t="s">
        <v>206</v>
      </c>
      <c r="D61" s="44" t="s">
        <v>213</v>
      </c>
      <c r="E61" s="44" t="s">
        <v>214</v>
      </c>
      <c r="F61" s="45"/>
      <c r="G61" s="46"/>
      <c r="H61" s="47"/>
      <c r="I61" s="47"/>
    </row>
    <row r="62" spans="1:9" ht="51.75" customHeight="1" x14ac:dyDescent="0.3">
      <c r="A62" s="42" t="s">
        <v>184</v>
      </c>
      <c r="B62" s="43" t="s">
        <v>215</v>
      </c>
      <c r="C62" s="42" t="s">
        <v>206</v>
      </c>
      <c r="D62" s="44" t="s">
        <v>216</v>
      </c>
      <c r="E62" s="44" t="s">
        <v>217</v>
      </c>
      <c r="F62" s="45"/>
      <c r="G62" s="46"/>
      <c r="H62" s="47"/>
      <c r="I62" s="47"/>
    </row>
    <row r="63" spans="1:9" ht="27.75" customHeight="1" x14ac:dyDescent="0.3">
      <c r="A63" s="51" t="s">
        <v>218</v>
      </c>
      <c r="B63" s="51"/>
      <c r="C63" s="51"/>
      <c r="D63" s="51"/>
      <c r="E63" s="51"/>
      <c r="F63" s="51"/>
      <c r="G63" s="51"/>
      <c r="H63" s="51"/>
      <c r="I63" s="51"/>
    </row>
    <row r="64" spans="1:9" ht="51.75" customHeight="1" x14ac:dyDescent="0.3">
      <c r="A64" s="42" t="s">
        <v>184</v>
      </c>
      <c r="B64" s="43" t="s">
        <v>219</v>
      </c>
      <c r="C64" s="42" t="s">
        <v>220</v>
      </c>
      <c r="D64" s="44" t="s">
        <v>221</v>
      </c>
      <c r="E64" s="44" t="s">
        <v>222</v>
      </c>
      <c r="F64" s="45"/>
      <c r="G64" s="46"/>
      <c r="H64" s="47"/>
      <c r="I64" s="47"/>
    </row>
    <row r="65" spans="1:9" ht="51.75" customHeight="1" x14ac:dyDescent="0.3">
      <c r="A65" s="42" t="s">
        <v>184</v>
      </c>
      <c r="B65" s="43" t="s">
        <v>223</v>
      </c>
      <c r="C65" s="42" t="s">
        <v>220</v>
      </c>
      <c r="D65" s="44" t="s">
        <v>224</v>
      </c>
      <c r="E65" s="44" t="s">
        <v>225</v>
      </c>
      <c r="F65" s="45"/>
      <c r="G65" s="46"/>
      <c r="H65" s="47"/>
      <c r="I65" s="47"/>
    </row>
    <row r="66" spans="1:9" ht="51.75" customHeight="1" x14ac:dyDescent="0.3">
      <c r="A66" s="42" t="s">
        <v>184</v>
      </c>
      <c r="B66" s="43" t="s">
        <v>226</v>
      </c>
      <c r="C66" s="42" t="s">
        <v>220</v>
      </c>
      <c r="D66" s="44" t="s">
        <v>227</v>
      </c>
      <c r="E66" s="44" t="s">
        <v>228</v>
      </c>
      <c r="F66" s="45"/>
      <c r="G66" s="46"/>
      <c r="H66" s="47"/>
      <c r="I66" s="47"/>
    </row>
    <row r="67" spans="1:9" ht="51.75" customHeight="1" x14ac:dyDescent="0.3">
      <c r="A67" s="42" t="s">
        <v>184</v>
      </c>
      <c r="B67" s="43" t="s">
        <v>229</v>
      </c>
      <c r="C67" s="42" t="s">
        <v>220</v>
      </c>
      <c r="D67" s="44" t="s">
        <v>230</v>
      </c>
      <c r="E67" s="44" t="s">
        <v>231</v>
      </c>
      <c r="F67" s="45"/>
      <c r="G67" s="46"/>
      <c r="H67" s="47"/>
      <c r="I67" s="47"/>
    </row>
    <row r="68" spans="1:9" ht="27.75" customHeight="1" x14ac:dyDescent="0.3">
      <c r="A68" s="51" t="s">
        <v>232</v>
      </c>
      <c r="B68" s="51"/>
      <c r="C68" s="51"/>
      <c r="D68" s="51"/>
      <c r="E68" s="51"/>
      <c r="F68" s="51"/>
      <c r="G68" s="51"/>
      <c r="H68" s="51"/>
      <c r="I68" s="51"/>
    </row>
    <row r="69" spans="1:9" ht="51.75" customHeight="1" x14ac:dyDescent="0.3">
      <c r="A69" s="42" t="s">
        <v>184</v>
      </c>
      <c r="B69" s="43" t="s">
        <v>233</v>
      </c>
      <c r="C69" s="42" t="s">
        <v>234</v>
      </c>
      <c r="D69" s="44" t="s">
        <v>235</v>
      </c>
      <c r="E69" s="44" t="s">
        <v>236</v>
      </c>
      <c r="F69" s="45"/>
      <c r="G69" s="46"/>
      <c r="H69" s="47"/>
      <c r="I69" s="47"/>
    </row>
    <row r="70" spans="1:9" ht="51.75" customHeight="1" x14ac:dyDescent="0.3">
      <c r="A70" s="42" t="s">
        <v>184</v>
      </c>
      <c r="B70" s="43" t="s">
        <v>237</v>
      </c>
      <c r="C70" s="42" t="s">
        <v>234</v>
      </c>
      <c r="D70" s="44" t="s">
        <v>238</v>
      </c>
      <c r="E70" s="44" t="s">
        <v>239</v>
      </c>
      <c r="F70" s="45"/>
      <c r="G70" s="46"/>
      <c r="H70" s="47"/>
      <c r="I70" s="47"/>
    </row>
    <row r="71" spans="1:9" ht="51.75" customHeight="1" x14ac:dyDescent="0.3">
      <c r="A71" s="42" t="s">
        <v>184</v>
      </c>
      <c r="B71" s="43" t="s">
        <v>240</v>
      </c>
      <c r="C71" s="42" t="s">
        <v>234</v>
      </c>
      <c r="D71" s="44" t="s">
        <v>241</v>
      </c>
      <c r="E71" s="44" t="s">
        <v>242</v>
      </c>
      <c r="F71" s="45"/>
      <c r="G71" s="46"/>
      <c r="H71" s="47"/>
      <c r="I71" s="47"/>
    </row>
    <row r="72" spans="1:9" ht="51.75" customHeight="1" x14ac:dyDescent="0.3">
      <c r="A72" s="42" t="s">
        <v>184</v>
      </c>
      <c r="B72" s="43" t="s">
        <v>243</v>
      </c>
      <c r="C72" s="42" t="s">
        <v>234</v>
      </c>
      <c r="D72" s="44" t="s">
        <v>244</v>
      </c>
      <c r="E72" s="44" t="s">
        <v>231</v>
      </c>
      <c r="F72" s="45"/>
      <c r="G72" s="46"/>
      <c r="H72" s="47"/>
      <c r="I72" s="47"/>
    </row>
    <row r="73" spans="1:9" ht="27.75" customHeight="1" x14ac:dyDescent="0.3">
      <c r="A73" s="51" t="s">
        <v>245</v>
      </c>
      <c r="B73" s="51"/>
      <c r="C73" s="51"/>
      <c r="D73" s="51"/>
      <c r="E73" s="51"/>
      <c r="F73" s="51"/>
      <c r="G73" s="51"/>
      <c r="H73" s="51"/>
      <c r="I73" s="51"/>
    </row>
    <row r="74" spans="1:9" ht="51.75" customHeight="1" x14ac:dyDescent="0.3">
      <c r="A74" s="42" t="s">
        <v>184</v>
      </c>
      <c r="B74" s="43" t="s">
        <v>246</v>
      </c>
      <c r="C74" s="42" t="s">
        <v>247</v>
      </c>
      <c r="D74" s="44" t="s">
        <v>248</v>
      </c>
      <c r="E74" s="44" t="s">
        <v>249</v>
      </c>
      <c r="F74" s="45"/>
      <c r="G74" s="46"/>
      <c r="H74" s="47"/>
      <c r="I74" s="47"/>
    </row>
    <row r="75" spans="1:9" ht="51.75" customHeight="1" x14ac:dyDescent="0.3">
      <c r="A75" s="42" t="s">
        <v>184</v>
      </c>
      <c r="B75" s="43" t="s">
        <v>250</v>
      </c>
      <c r="C75" s="42" t="s">
        <v>247</v>
      </c>
      <c r="D75" s="44" t="s">
        <v>251</v>
      </c>
      <c r="E75" s="44" t="s">
        <v>252</v>
      </c>
      <c r="F75" s="45"/>
      <c r="G75" s="46"/>
      <c r="H75" s="47"/>
      <c r="I75" s="47"/>
    </row>
    <row r="76" spans="1:9" ht="51.75" customHeight="1" x14ac:dyDescent="0.3">
      <c r="A76" s="42" t="s">
        <v>184</v>
      </c>
      <c r="B76" s="43" t="s">
        <v>253</v>
      </c>
      <c r="C76" s="42" t="s">
        <v>247</v>
      </c>
      <c r="D76" s="44" t="s">
        <v>254</v>
      </c>
      <c r="E76" s="44" t="s">
        <v>255</v>
      </c>
      <c r="F76" s="45"/>
      <c r="G76" s="46"/>
      <c r="H76" s="47"/>
      <c r="I76" s="47"/>
    </row>
    <row r="77" spans="1:9" ht="51.75" customHeight="1" x14ac:dyDescent="0.3">
      <c r="A77" s="42" t="s">
        <v>184</v>
      </c>
      <c r="B77" s="43" t="s">
        <v>256</v>
      </c>
      <c r="C77" s="42" t="s">
        <v>247</v>
      </c>
      <c r="D77" s="44" t="s">
        <v>257</v>
      </c>
      <c r="E77" s="44" t="s">
        <v>231</v>
      </c>
      <c r="F77" s="45"/>
      <c r="G77" s="46"/>
      <c r="H77" s="47"/>
      <c r="I77" s="47"/>
    </row>
    <row r="78" spans="1:9" ht="27.75" customHeight="1" x14ac:dyDescent="0.3">
      <c r="A78" s="51" t="s">
        <v>258</v>
      </c>
      <c r="B78" s="51"/>
      <c r="C78" s="51"/>
      <c r="D78" s="51"/>
      <c r="E78" s="51"/>
      <c r="F78" s="51"/>
      <c r="G78" s="51"/>
      <c r="H78" s="51"/>
      <c r="I78" s="51"/>
    </row>
    <row r="79" spans="1:9" ht="51.75" customHeight="1" x14ac:dyDescent="0.3">
      <c r="A79" s="42" t="s">
        <v>184</v>
      </c>
      <c r="B79" s="43" t="s">
        <v>259</v>
      </c>
      <c r="C79" s="42" t="s">
        <v>260</v>
      </c>
      <c r="D79" s="44" t="s">
        <v>261</v>
      </c>
      <c r="E79" s="44" t="s">
        <v>262</v>
      </c>
      <c r="F79" s="45"/>
      <c r="G79" s="46"/>
      <c r="H79" s="47"/>
      <c r="I79" s="47"/>
    </row>
    <row r="80" spans="1:9" ht="51.75" customHeight="1" x14ac:dyDescent="0.3">
      <c r="A80" s="42" t="s">
        <v>184</v>
      </c>
      <c r="B80" s="43" t="s">
        <v>263</v>
      </c>
      <c r="C80" s="42" t="s">
        <v>260</v>
      </c>
      <c r="D80" s="44" t="s">
        <v>264</v>
      </c>
      <c r="E80" s="44" t="s">
        <v>265</v>
      </c>
      <c r="F80" s="45"/>
      <c r="G80" s="46"/>
      <c r="H80" s="47"/>
      <c r="I80" s="47"/>
    </row>
    <row r="81" spans="1:9" ht="51.75" customHeight="1" x14ac:dyDescent="0.3">
      <c r="A81" s="42" t="s">
        <v>184</v>
      </c>
      <c r="B81" s="43" t="s">
        <v>266</v>
      </c>
      <c r="C81" s="42" t="s">
        <v>260</v>
      </c>
      <c r="D81" s="44" t="s">
        <v>267</v>
      </c>
      <c r="E81" s="44" t="s">
        <v>268</v>
      </c>
      <c r="F81" s="45"/>
      <c r="G81" s="46"/>
      <c r="H81" s="47"/>
      <c r="I81" s="47"/>
    </row>
    <row r="82" spans="1:9" ht="51.75" customHeight="1" x14ac:dyDescent="0.3">
      <c r="A82" s="42" t="s">
        <v>184</v>
      </c>
      <c r="B82" s="43" t="s">
        <v>269</v>
      </c>
      <c r="C82" s="42" t="s">
        <v>260</v>
      </c>
      <c r="D82" s="44" t="s">
        <v>270</v>
      </c>
      <c r="E82" s="44" t="s">
        <v>231</v>
      </c>
      <c r="F82" s="45"/>
      <c r="G82" s="46"/>
      <c r="H82" s="47"/>
      <c r="I82" s="47"/>
    </row>
    <row r="83" spans="1:9" ht="27.75" customHeight="1" x14ac:dyDescent="0.3">
      <c r="A83" s="51" t="s">
        <v>271</v>
      </c>
      <c r="B83" s="51"/>
      <c r="C83" s="51"/>
      <c r="D83" s="51"/>
      <c r="E83" s="51"/>
      <c r="F83" s="51"/>
      <c r="G83" s="51"/>
      <c r="H83" s="51"/>
      <c r="I83" s="51"/>
    </row>
    <row r="84" spans="1:9" ht="51.75" customHeight="1" x14ac:dyDescent="0.3">
      <c r="A84" s="42" t="s">
        <v>184</v>
      </c>
      <c r="B84" s="43" t="s">
        <v>272</v>
      </c>
      <c r="C84" s="42" t="s">
        <v>273</v>
      </c>
      <c r="D84" s="44" t="s">
        <v>274</v>
      </c>
      <c r="E84" s="44" t="s">
        <v>275</v>
      </c>
      <c r="F84" s="45"/>
      <c r="G84" s="46"/>
      <c r="H84" s="47"/>
      <c r="I84" s="47"/>
    </row>
    <row r="85" spans="1:9" ht="51.75" customHeight="1" x14ac:dyDescent="0.3">
      <c r="A85" s="42" t="s">
        <v>184</v>
      </c>
      <c r="B85" s="43" t="s">
        <v>276</v>
      </c>
      <c r="C85" s="42" t="s">
        <v>273</v>
      </c>
      <c r="D85" s="44" t="s">
        <v>277</v>
      </c>
      <c r="E85" s="44" t="s">
        <v>278</v>
      </c>
      <c r="F85" s="45"/>
      <c r="G85" s="46"/>
      <c r="H85" s="47"/>
      <c r="I85" s="47"/>
    </row>
    <row r="86" spans="1:9" ht="51.75" customHeight="1" x14ac:dyDescent="0.3">
      <c r="A86" s="42" t="s">
        <v>184</v>
      </c>
      <c r="B86" s="43" t="s">
        <v>279</v>
      </c>
      <c r="C86" s="42" t="s">
        <v>273</v>
      </c>
      <c r="D86" s="44" t="s">
        <v>280</v>
      </c>
      <c r="E86" s="44" t="s">
        <v>231</v>
      </c>
      <c r="F86" s="45"/>
      <c r="G86" s="46"/>
      <c r="H86" s="47"/>
      <c r="I86" s="47"/>
    </row>
    <row r="87" spans="1:9" ht="27.75" customHeight="1" x14ac:dyDescent="0.3">
      <c r="A87" s="51" t="s">
        <v>281</v>
      </c>
      <c r="B87" s="51"/>
      <c r="C87" s="51"/>
      <c r="D87" s="51"/>
      <c r="E87" s="51"/>
      <c r="F87" s="51"/>
      <c r="G87" s="51"/>
      <c r="H87" s="51"/>
      <c r="I87" s="51"/>
    </row>
    <row r="88" spans="1:9" ht="51.75" customHeight="1" x14ac:dyDescent="0.3">
      <c r="A88" s="42" t="s">
        <v>184</v>
      </c>
      <c r="B88" s="43" t="s">
        <v>282</v>
      </c>
      <c r="C88" s="42" t="s">
        <v>283</v>
      </c>
      <c r="D88" s="44" t="s">
        <v>284</v>
      </c>
      <c r="E88" s="44" t="s">
        <v>285</v>
      </c>
      <c r="F88" s="45"/>
      <c r="G88" s="46"/>
      <c r="H88" s="47"/>
      <c r="I88" s="47"/>
    </row>
    <row r="89" spans="1:9" ht="51.75" customHeight="1" x14ac:dyDescent="0.3">
      <c r="A89" s="42" t="s">
        <v>184</v>
      </c>
      <c r="B89" s="43" t="s">
        <v>286</v>
      </c>
      <c r="C89" s="42" t="s">
        <v>283</v>
      </c>
      <c r="D89" s="44" t="s">
        <v>287</v>
      </c>
      <c r="E89" s="44" t="s">
        <v>288</v>
      </c>
      <c r="F89" s="45"/>
      <c r="G89" s="46"/>
      <c r="H89" s="47"/>
      <c r="I89" s="47"/>
    </row>
    <row r="90" spans="1:9" ht="51.75" customHeight="1" x14ac:dyDescent="0.3">
      <c r="A90" s="42" t="s">
        <v>184</v>
      </c>
      <c r="B90" s="43" t="s">
        <v>289</v>
      </c>
      <c r="C90" s="42" t="s">
        <v>283</v>
      </c>
      <c r="D90" s="44" t="s">
        <v>290</v>
      </c>
      <c r="E90" s="44" t="s">
        <v>291</v>
      </c>
      <c r="F90" s="45"/>
      <c r="G90" s="46"/>
      <c r="H90" s="47"/>
      <c r="I90" s="47"/>
    </row>
    <row r="91" spans="1:9" ht="51.75" customHeight="1" x14ac:dyDescent="0.3">
      <c r="A91" s="42" t="s">
        <v>184</v>
      </c>
      <c r="B91" s="43" t="s">
        <v>292</v>
      </c>
      <c r="C91" s="42" t="s">
        <v>283</v>
      </c>
      <c r="D91" s="44" t="s">
        <v>293</v>
      </c>
      <c r="E91" s="44" t="s">
        <v>231</v>
      </c>
      <c r="F91" s="45"/>
      <c r="G91" s="46"/>
      <c r="H91" s="47"/>
      <c r="I91" s="47"/>
    </row>
    <row r="92" spans="1:9" ht="27.75" customHeight="1" x14ac:dyDescent="0.3">
      <c r="A92" s="51" t="s">
        <v>294</v>
      </c>
      <c r="B92" s="51"/>
      <c r="C92" s="51"/>
      <c r="D92" s="51"/>
      <c r="E92" s="51"/>
      <c r="F92" s="51"/>
      <c r="G92" s="51"/>
      <c r="H92" s="51"/>
      <c r="I92" s="51"/>
    </row>
    <row r="93" spans="1:9" ht="51.75" customHeight="1" x14ac:dyDescent="0.3">
      <c r="A93" s="42" t="s">
        <v>184</v>
      </c>
      <c r="B93" s="43" t="s">
        <v>295</v>
      </c>
      <c r="C93" s="42" t="s">
        <v>296</v>
      </c>
      <c r="D93" s="44" t="s">
        <v>297</v>
      </c>
      <c r="E93" s="44" t="s">
        <v>298</v>
      </c>
      <c r="F93" s="45"/>
      <c r="G93" s="46"/>
      <c r="H93" s="47"/>
      <c r="I93" s="47"/>
    </row>
    <row r="94" spans="1:9" ht="51.75" customHeight="1" x14ac:dyDescent="0.3">
      <c r="A94" s="42" t="s">
        <v>184</v>
      </c>
      <c r="B94" s="43" t="s">
        <v>299</v>
      </c>
      <c r="C94" s="42" t="s">
        <v>296</v>
      </c>
      <c r="D94" s="44" t="s">
        <v>300</v>
      </c>
      <c r="E94" s="44" t="s">
        <v>301</v>
      </c>
      <c r="F94" s="45"/>
      <c r="G94" s="46"/>
      <c r="H94" s="47"/>
      <c r="I94" s="47"/>
    </row>
    <row r="95" spans="1:9" ht="51.75" customHeight="1" x14ac:dyDescent="0.3">
      <c r="A95" s="42" t="s">
        <v>184</v>
      </c>
      <c r="B95" s="43" t="s">
        <v>302</v>
      </c>
      <c r="C95" s="42" t="s">
        <v>296</v>
      </c>
      <c r="D95" s="44" t="s">
        <v>303</v>
      </c>
      <c r="E95" s="44" t="s">
        <v>304</v>
      </c>
      <c r="F95" s="45"/>
      <c r="G95" s="46"/>
      <c r="H95" s="47"/>
      <c r="I95" s="47"/>
    </row>
    <row r="96" spans="1:9" ht="51.75" customHeight="1" x14ac:dyDescent="0.3">
      <c r="A96" s="42" t="s">
        <v>184</v>
      </c>
      <c r="B96" s="43" t="s">
        <v>305</v>
      </c>
      <c r="C96" s="42" t="s">
        <v>296</v>
      </c>
      <c r="D96" s="44" t="s">
        <v>306</v>
      </c>
      <c r="E96" s="44" t="s">
        <v>231</v>
      </c>
      <c r="F96" s="45"/>
      <c r="G96" s="46"/>
      <c r="H96" s="47"/>
      <c r="I96" s="47"/>
    </row>
    <row r="97" spans="1:9" ht="27.75" customHeight="1" x14ac:dyDescent="0.3">
      <c r="A97" s="51" t="s">
        <v>307</v>
      </c>
      <c r="B97" s="51"/>
      <c r="C97" s="51"/>
      <c r="D97" s="51"/>
      <c r="E97" s="51"/>
      <c r="F97" s="51"/>
      <c r="G97" s="51"/>
      <c r="H97" s="51"/>
      <c r="I97" s="51"/>
    </row>
    <row r="98" spans="1:9" ht="51.75" customHeight="1" x14ac:dyDescent="0.3">
      <c r="A98" s="42" t="s">
        <v>184</v>
      </c>
      <c r="B98" s="43" t="s">
        <v>308</v>
      </c>
      <c r="C98" s="42" t="s">
        <v>309</v>
      </c>
      <c r="D98" s="44" t="s">
        <v>310</v>
      </c>
      <c r="E98" s="44" t="s">
        <v>311</v>
      </c>
      <c r="F98" s="45"/>
      <c r="G98" s="46"/>
      <c r="H98" s="47"/>
      <c r="I98" s="47"/>
    </row>
    <row r="99" spans="1:9" ht="51.75" customHeight="1" x14ac:dyDescent="0.3">
      <c r="A99" s="42" t="s">
        <v>184</v>
      </c>
      <c r="B99" s="43" t="s">
        <v>312</v>
      </c>
      <c r="C99" s="42" t="s">
        <v>309</v>
      </c>
      <c r="D99" s="44" t="s">
        <v>313</v>
      </c>
      <c r="E99" s="44" t="s">
        <v>314</v>
      </c>
      <c r="F99" s="45"/>
      <c r="G99" s="46"/>
      <c r="H99" s="47"/>
      <c r="I99" s="47"/>
    </row>
    <row r="100" spans="1:9" ht="51.75" customHeight="1" x14ac:dyDescent="0.3">
      <c r="A100" s="42" t="s">
        <v>184</v>
      </c>
      <c r="B100" s="43" t="s">
        <v>315</v>
      </c>
      <c r="C100" s="42" t="s">
        <v>309</v>
      </c>
      <c r="D100" s="44" t="s">
        <v>316</v>
      </c>
      <c r="E100" s="44" t="s">
        <v>317</v>
      </c>
      <c r="F100" s="45"/>
      <c r="G100" s="46"/>
      <c r="H100" s="47"/>
      <c r="I100" s="47"/>
    </row>
    <row r="101" spans="1:9" ht="51.75" customHeight="1" x14ac:dyDescent="0.3">
      <c r="A101" s="42" t="s">
        <v>184</v>
      </c>
      <c r="B101" s="43" t="s">
        <v>318</v>
      </c>
      <c r="C101" s="42" t="s">
        <v>309</v>
      </c>
      <c r="D101" s="44" t="s">
        <v>319</v>
      </c>
      <c r="E101" s="44" t="s">
        <v>231</v>
      </c>
      <c r="F101" s="45"/>
      <c r="G101" s="46"/>
      <c r="H101" s="47"/>
      <c r="I101" s="47"/>
    </row>
    <row r="102" spans="1:9" ht="27.75" customHeight="1" x14ac:dyDescent="0.3">
      <c r="A102" s="51" t="s">
        <v>320</v>
      </c>
      <c r="B102" s="51"/>
      <c r="C102" s="51"/>
      <c r="D102" s="51"/>
      <c r="E102" s="51"/>
      <c r="F102" s="51"/>
      <c r="G102" s="51"/>
      <c r="H102" s="51"/>
      <c r="I102" s="51"/>
    </row>
    <row r="103" spans="1:9" ht="51.75" customHeight="1" x14ac:dyDescent="0.3">
      <c r="A103" s="42" t="s">
        <v>184</v>
      </c>
      <c r="B103" s="43" t="s">
        <v>321</v>
      </c>
      <c r="C103" s="42" t="s">
        <v>322</v>
      </c>
      <c r="D103" s="44" t="s">
        <v>323</v>
      </c>
      <c r="E103" s="44" t="s">
        <v>324</v>
      </c>
      <c r="F103" s="45"/>
      <c r="G103" s="46"/>
      <c r="H103" s="47"/>
      <c r="I103" s="47"/>
    </row>
    <row r="104" spans="1:9" ht="51.75" customHeight="1" x14ac:dyDescent="0.3">
      <c r="A104" s="42" t="s">
        <v>184</v>
      </c>
      <c r="B104" s="43" t="s">
        <v>325</v>
      </c>
      <c r="C104" s="42" t="s">
        <v>322</v>
      </c>
      <c r="D104" s="44" t="s">
        <v>326</v>
      </c>
      <c r="E104" s="44" t="s">
        <v>327</v>
      </c>
      <c r="F104" s="45"/>
      <c r="G104" s="46"/>
      <c r="H104" s="47"/>
      <c r="I104" s="47"/>
    </row>
    <row r="105" spans="1:9" ht="51.75" customHeight="1" x14ac:dyDescent="0.3">
      <c r="A105" s="42" t="s">
        <v>184</v>
      </c>
      <c r="B105" s="43" t="s">
        <v>328</v>
      </c>
      <c r="C105" s="42" t="s">
        <v>322</v>
      </c>
      <c r="D105" s="44" t="s">
        <v>329</v>
      </c>
      <c r="E105" s="44" t="s">
        <v>330</v>
      </c>
      <c r="F105" s="45"/>
      <c r="G105" s="46"/>
      <c r="H105" s="47"/>
      <c r="I105" s="47"/>
    </row>
    <row r="106" spans="1:9" ht="51.75" customHeight="1" x14ac:dyDescent="0.3">
      <c r="A106" s="42" t="s">
        <v>184</v>
      </c>
      <c r="B106" s="43" t="s">
        <v>331</v>
      </c>
      <c r="C106" s="42" t="s">
        <v>322</v>
      </c>
      <c r="D106" s="44" t="s">
        <v>332</v>
      </c>
      <c r="E106" s="44" t="s">
        <v>231</v>
      </c>
      <c r="F106" s="45"/>
      <c r="G106" s="46"/>
      <c r="H106" s="47"/>
      <c r="I106" s="47"/>
    </row>
    <row r="107" spans="1:9" ht="27.75" customHeight="1" x14ac:dyDescent="0.3">
      <c r="A107" s="51" t="s">
        <v>333</v>
      </c>
      <c r="B107" s="51"/>
      <c r="C107" s="51"/>
      <c r="D107" s="51"/>
      <c r="E107" s="51"/>
      <c r="F107" s="51"/>
      <c r="G107" s="51"/>
      <c r="H107" s="51"/>
      <c r="I107" s="51"/>
    </row>
    <row r="108" spans="1:9" ht="51.75" customHeight="1" x14ac:dyDescent="0.3">
      <c r="A108" s="42" t="s">
        <v>184</v>
      </c>
      <c r="B108" s="43" t="s">
        <v>334</v>
      </c>
      <c r="C108" s="42" t="s">
        <v>335</v>
      </c>
      <c r="D108" s="44" t="s">
        <v>336</v>
      </c>
      <c r="E108" s="44" t="s">
        <v>337</v>
      </c>
      <c r="F108" s="45"/>
      <c r="G108" s="46"/>
      <c r="H108" s="47"/>
      <c r="I108" s="47"/>
    </row>
    <row r="109" spans="1:9" ht="51.75" customHeight="1" x14ac:dyDescent="0.3">
      <c r="A109" s="42" t="s">
        <v>184</v>
      </c>
      <c r="B109" s="43" t="s">
        <v>338</v>
      </c>
      <c r="C109" s="42" t="s">
        <v>335</v>
      </c>
      <c r="D109" s="44" t="s">
        <v>339</v>
      </c>
      <c r="E109" s="44" t="s">
        <v>340</v>
      </c>
      <c r="F109" s="45"/>
      <c r="G109" s="46"/>
      <c r="H109" s="47"/>
      <c r="I109" s="47"/>
    </row>
    <row r="110" spans="1:9" ht="51.75" customHeight="1" x14ac:dyDescent="0.3">
      <c r="A110" s="42" t="s">
        <v>184</v>
      </c>
      <c r="B110" s="43" t="s">
        <v>341</v>
      </c>
      <c r="C110" s="42" t="s">
        <v>335</v>
      </c>
      <c r="D110" s="44" t="s">
        <v>342</v>
      </c>
      <c r="E110" s="44" t="s">
        <v>343</v>
      </c>
      <c r="F110" s="45"/>
      <c r="G110" s="46"/>
      <c r="H110" s="47"/>
      <c r="I110" s="47"/>
    </row>
    <row r="111" spans="1:9" ht="51.75" customHeight="1" x14ac:dyDescent="0.3">
      <c r="A111" s="42" t="s">
        <v>184</v>
      </c>
      <c r="B111" s="43" t="s">
        <v>344</v>
      </c>
      <c r="C111" s="42" t="s">
        <v>335</v>
      </c>
      <c r="D111" s="44" t="s">
        <v>345</v>
      </c>
      <c r="E111" s="44" t="s">
        <v>231</v>
      </c>
      <c r="F111" s="45"/>
      <c r="G111" s="46"/>
      <c r="H111" s="47"/>
      <c r="I111" s="47"/>
    </row>
    <row r="112" spans="1:9" ht="27.75" customHeight="1" x14ac:dyDescent="0.3">
      <c r="A112" s="51" t="s">
        <v>346</v>
      </c>
      <c r="B112" s="51"/>
      <c r="C112" s="51"/>
      <c r="D112" s="51"/>
      <c r="E112" s="51"/>
      <c r="F112" s="51"/>
      <c r="G112" s="51"/>
      <c r="H112" s="51"/>
      <c r="I112" s="51"/>
    </row>
    <row r="113" spans="1:9" ht="51.75" customHeight="1" x14ac:dyDescent="0.3">
      <c r="A113" s="42" t="s">
        <v>184</v>
      </c>
      <c r="B113" s="43" t="s">
        <v>347</v>
      </c>
      <c r="C113" s="42" t="s">
        <v>348</v>
      </c>
      <c r="D113" s="44" t="s">
        <v>349</v>
      </c>
      <c r="E113" s="44" t="s">
        <v>350</v>
      </c>
      <c r="F113" s="45"/>
      <c r="G113" s="46"/>
      <c r="H113" s="47"/>
      <c r="I113" s="47"/>
    </row>
    <row r="114" spans="1:9" ht="51.75" customHeight="1" x14ac:dyDescent="0.3">
      <c r="A114" s="42" t="s">
        <v>184</v>
      </c>
      <c r="B114" s="43" t="s">
        <v>351</v>
      </c>
      <c r="C114" s="42" t="s">
        <v>348</v>
      </c>
      <c r="D114" s="44" t="s">
        <v>352</v>
      </c>
      <c r="E114" s="44" t="s">
        <v>353</v>
      </c>
      <c r="F114" s="45"/>
      <c r="G114" s="46"/>
      <c r="H114" s="47"/>
      <c r="I114" s="47"/>
    </row>
    <row r="115" spans="1:9" ht="51.75" customHeight="1" x14ac:dyDescent="0.3">
      <c r="A115" s="42" t="s">
        <v>184</v>
      </c>
      <c r="B115" s="43" t="s">
        <v>354</v>
      </c>
      <c r="C115" s="42" t="s">
        <v>348</v>
      </c>
      <c r="D115" s="44" t="s">
        <v>355</v>
      </c>
      <c r="E115" s="44" t="s">
        <v>356</v>
      </c>
      <c r="F115" s="45"/>
      <c r="G115" s="46"/>
      <c r="H115" s="47"/>
      <c r="I115" s="47"/>
    </row>
    <row r="116" spans="1:9" ht="51.75" customHeight="1" x14ac:dyDescent="0.3">
      <c r="A116" s="42" t="s">
        <v>184</v>
      </c>
      <c r="B116" s="43" t="s">
        <v>357</v>
      </c>
      <c r="C116" s="42" t="s">
        <v>348</v>
      </c>
      <c r="D116" s="44" t="s">
        <v>358</v>
      </c>
      <c r="E116" s="44" t="s">
        <v>231</v>
      </c>
      <c r="F116" s="45"/>
      <c r="G116" s="46"/>
      <c r="H116" s="47"/>
      <c r="I116" s="47"/>
    </row>
    <row r="117" spans="1:9" ht="27.75" customHeight="1" x14ac:dyDescent="0.3">
      <c r="A117" s="51" t="s">
        <v>359</v>
      </c>
      <c r="B117" s="51"/>
      <c r="C117" s="51"/>
      <c r="D117" s="51"/>
      <c r="E117" s="51"/>
      <c r="F117" s="51"/>
      <c r="G117" s="51"/>
      <c r="H117" s="51"/>
      <c r="I117" s="51"/>
    </row>
    <row r="118" spans="1:9" ht="51.75" customHeight="1" x14ac:dyDescent="0.3">
      <c r="A118" s="42" t="s">
        <v>184</v>
      </c>
      <c r="B118" s="43" t="s">
        <v>360</v>
      </c>
      <c r="C118" s="42" t="s">
        <v>361</v>
      </c>
      <c r="D118" s="44" t="s">
        <v>362</v>
      </c>
      <c r="E118" s="44" t="s">
        <v>363</v>
      </c>
      <c r="F118" s="45"/>
      <c r="G118" s="46"/>
      <c r="H118" s="47"/>
      <c r="I118" s="47"/>
    </row>
    <row r="119" spans="1:9" ht="51.75" customHeight="1" x14ac:dyDescent="0.3">
      <c r="A119" s="42" t="s">
        <v>184</v>
      </c>
      <c r="B119" s="43" t="s">
        <v>364</v>
      </c>
      <c r="C119" s="42" t="s">
        <v>361</v>
      </c>
      <c r="D119" s="44" t="s">
        <v>365</v>
      </c>
      <c r="E119" s="44" t="s">
        <v>366</v>
      </c>
      <c r="F119" s="45"/>
      <c r="G119" s="46"/>
      <c r="H119" s="47"/>
      <c r="I119" s="47"/>
    </row>
    <row r="120" spans="1:9" ht="51.75" customHeight="1" x14ac:dyDescent="0.3">
      <c r="A120" s="42" t="s">
        <v>184</v>
      </c>
      <c r="B120" s="43" t="s">
        <v>367</v>
      </c>
      <c r="C120" s="42" t="s">
        <v>361</v>
      </c>
      <c r="D120" s="44" t="s">
        <v>368</v>
      </c>
      <c r="E120" s="44" t="s">
        <v>369</v>
      </c>
      <c r="F120" s="45"/>
      <c r="G120" s="46"/>
      <c r="H120" s="47"/>
      <c r="I120" s="47"/>
    </row>
    <row r="121" spans="1:9" ht="51.75" customHeight="1" x14ac:dyDescent="0.3">
      <c r="A121" s="42" t="s">
        <v>184</v>
      </c>
      <c r="B121" s="43" t="s">
        <v>370</v>
      </c>
      <c r="C121" s="42" t="s">
        <v>361</v>
      </c>
      <c r="D121" s="44" t="s">
        <v>371</v>
      </c>
      <c r="E121" s="44" t="s">
        <v>231</v>
      </c>
      <c r="F121" s="45"/>
      <c r="G121" s="46"/>
      <c r="H121" s="47"/>
      <c r="I121" s="47"/>
    </row>
    <row r="122" spans="1:9" ht="27.75" customHeight="1" x14ac:dyDescent="0.3">
      <c r="A122" s="51" t="s">
        <v>372</v>
      </c>
      <c r="B122" s="51"/>
      <c r="C122" s="51"/>
      <c r="D122" s="51"/>
      <c r="E122" s="51"/>
      <c r="F122" s="51"/>
      <c r="G122" s="51"/>
      <c r="H122" s="51"/>
      <c r="I122" s="51"/>
    </row>
    <row r="123" spans="1:9" ht="51.75" customHeight="1" x14ac:dyDescent="0.3">
      <c r="A123" s="42" t="s">
        <v>184</v>
      </c>
      <c r="B123" s="43" t="s">
        <v>373</v>
      </c>
      <c r="C123" s="42" t="s">
        <v>374</v>
      </c>
      <c r="D123" s="44" t="s">
        <v>375</v>
      </c>
      <c r="E123" s="44" t="s">
        <v>376</v>
      </c>
      <c r="F123" s="45"/>
      <c r="G123" s="46"/>
      <c r="H123" s="47"/>
      <c r="I123" s="47"/>
    </row>
    <row r="124" spans="1:9" ht="51.75" customHeight="1" x14ac:dyDescent="0.3">
      <c r="A124" s="42" t="s">
        <v>184</v>
      </c>
      <c r="B124" s="43" t="s">
        <v>377</v>
      </c>
      <c r="C124" s="42" t="s">
        <v>374</v>
      </c>
      <c r="D124" s="44" t="s">
        <v>378</v>
      </c>
      <c r="E124" s="44" t="s">
        <v>379</v>
      </c>
      <c r="F124" s="45"/>
      <c r="G124" s="46"/>
      <c r="H124" s="47"/>
      <c r="I124" s="47"/>
    </row>
    <row r="125" spans="1:9" ht="51.75" customHeight="1" x14ac:dyDescent="0.3">
      <c r="A125" s="42" t="s">
        <v>184</v>
      </c>
      <c r="B125" s="43" t="s">
        <v>380</v>
      </c>
      <c r="C125" s="42" t="s">
        <v>374</v>
      </c>
      <c r="D125" s="44" t="s">
        <v>381</v>
      </c>
      <c r="E125" s="44" t="s">
        <v>382</v>
      </c>
      <c r="F125" s="45"/>
      <c r="G125" s="46"/>
      <c r="H125" s="47"/>
      <c r="I125" s="47"/>
    </row>
    <row r="126" spans="1:9" ht="51.75" customHeight="1" x14ac:dyDescent="0.3">
      <c r="A126" s="42" t="s">
        <v>184</v>
      </c>
      <c r="B126" s="43" t="s">
        <v>383</v>
      </c>
      <c r="C126" s="42" t="s">
        <v>374</v>
      </c>
      <c r="D126" s="44" t="s">
        <v>384</v>
      </c>
      <c r="E126" s="44" t="s">
        <v>231</v>
      </c>
      <c r="F126" s="45"/>
      <c r="G126" s="46"/>
      <c r="H126" s="47"/>
      <c r="I126" s="47"/>
    </row>
    <row r="127" spans="1:9" ht="31.5" customHeight="1" x14ac:dyDescent="0.3">
      <c r="A127" s="52" t="s">
        <v>385</v>
      </c>
      <c r="B127" s="52"/>
      <c r="C127" s="52"/>
      <c r="D127" s="52"/>
      <c r="E127" s="52"/>
      <c r="F127" s="52"/>
      <c r="G127" s="52"/>
      <c r="H127" s="52"/>
      <c r="I127" s="52"/>
    </row>
    <row r="128" spans="1:9" ht="27.75" customHeight="1" x14ac:dyDescent="0.3">
      <c r="A128" s="48" t="s">
        <v>386</v>
      </c>
      <c r="B128" s="48"/>
      <c r="C128" s="48"/>
      <c r="D128" s="48"/>
      <c r="E128" s="48"/>
      <c r="F128" s="48"/>
      <c r="G128" s="48"/>
      <c r="H128" s="48"/>
      <c r="I128" s="48"/>
    </row>
    <row r="129" spans="1:9" ht="51.75" customHeight="1" x14ac:dyDescent="0.3">
      <c r="A129" s="42" t="s">
        <v>387</v>
      </c>
      <c r="B129" s="43" t="s">
        <v>388</v>
      </c>
      <c r="C129" s="42" t="s">
        <v>389</v>
      </c>
      <c r="D129" s="44" t="s">
        <v>390</v>
      </c>
      <c r="E129" s="44" t="s">
        <v>391</v>
      </c>
      <c r="F129" s="45"/>
      <c r="G129" s="46"/>
      <c r="H129" s="47"/>
      <c r="I129" s="47"/>
    </row>
    <row r="130" spans="1:9" ht="51.75" customHeight="1" x14ac:dyDescent="0.3">
      <c r="A130" s="42" t="s">
        <v>387</v>
      </c>
      <c r="B130" s="43" t="s">
        <v>392</v>
      </c>
      <c r="C130" s="42" t="s">
        <v>389</v>
      </c>
      <c r="D130" s="44" t="s">
        <v>393</v>
      </c>
      <c r="E130" s="44" t="s">
        <v>394</v>
      </c>
      <c r="F130" s="45"/>
      <c r="G130" s="46"/>
      <c r="H130" s="47"/>
      <c r="I130" s="47"/>
    </row>
    <row r="131" spans="1:9" ht="51.75" customHeight="1" x14ac:dyDescent="0.3">
      <c r="A131" s="42" t="s">
        <v>387</v>
      </c>
      <c r="B131" s="43" t="s">
        <v>395</v>
      </c>
      <c r="C131" s="42" t="s">
        <v>389</v>
      </c>
      <c r="D131" s="44" t="s">
        <v>396</v>
      </c>
      <c r="E131" s="44" t="s">
        <v>397</v>
      </c>
      <c r="F131" s="45"/>
      <c r="G131" s="46"/>
      <c r="H131" s="47"/>
      <c r="I131" s="47"/>
    </row>
    <row r="132" spans="1:9" ht="51.75" customHeight="1" x14ac:dyDescent="0.3">
      <c r="A132" s="42" t="s">
        <v>387</v>
      </c>
      <c r="B132" s="43" t="s">
        <v>398</v>
      </c>
      <c r="C132" s="42" t="s">
        <v>389</v>
      </c>
      <c r="D132" s="44" t="s">
        <v>399</v>
      </c>
      <c r="E132" s="44" t="s">
        <v>400</v>
      </c>
      <c r="F132" s="45"/>
      <c r="G132" s="46"/>
      <c r="H132" s="47"/>
      <c r="I132" s="47"/>
    </row>
    <row r="133" spans="1:9" ht="31.5" customHeight="1" x14ac:dyDescent="0.3">
      <c r="A133" s="49" t="s">
        <v>401</v>
      </c>
      <c r="B133" s="49"/>
      <c r="C133" s="49"/>
      <c r="D133" s="49"/>
      <c r="E133" s="49"/>
      <c r="F133" s="49"/>
      <c r="G133" s="49"/>
      <c r="H133" s="49"/>
      <c r="I133" s="49"/>
    </row>
    <row r="134" spans="1:9" ht="27.75" customHeight="1" x14ac:dyDescent="0.3">
      <c r="A134" s="50" t="s">
        <v>402</v>
      </c>
      <c r="B134" s="50"/>
      <c r="C134" s="50"/>
      <c r="D134" s="50"/>
      <c r="E134" s="50"/>
      <c r="F134" s="50"/>
      <c r="G134" s="50"/>
      <c r="H134" s="50"/>
      <c r="I134" s="50"/>
    </row>
    <row r="135" spans="1:9" ht="51.75" customHeight="1" x14ac:dyDescent="0.3">
      <c r="A135" s="42" t="s">
        <v>403</v>
      </c>
      <c r="B135" s="43" t="s">
        <v>404</v>
      </c>
      <c r="C135" s="42" t="s">
        <v>405</v>
      </c>
      <c r="D135" s="44" t="s">
        <v>406</v>
      </c>
      <c r="E135" s="44" t="s">
        <v>407</v>
      </c>
      <c r="F135" s="45"/>
      <c r="G135" s="46"/>
      <c r="H135" s="47"/>
      <c r="I135" s="47"/>
    </row>
    <row r="136" spans="1:9" ht="51.75" customHeight="1" x14ac:dyDescent="0.3">
      <c r="A136" s="42" t="s">
        <v>403</v>
      </c>
      <c r="B136" s="43" t="s">
        <v>408</v>
      </c>
      <c r="C136" s="42" t="s">
        <v>405</v>
      </c>
      <c r="D136" s="44" t="s">
        <v>409</v>
      </c>
      <c r="E136" s="44" t="s">
        <v>410</v>
      </c>
      <c r="F136" s="45"/>
      <c r="G136" s="46"/>
      <c r="H136" s="47"/>
      <c r="I136" s="47"/>
    </row>
    <row r="137" spans="1:9" ht="51.75" customHeight="1" x14ac:dyDescent="0.3">
      <c r="A137" s="42" t="s">
        <v>403</v>
      </c>
      <c r="B137" s="43" t="s">
        <v>411</v>
      </c>
      <c r="C137" s="42" t="s">
        <v>405</v>
      </c>
      <c r="D137" s="44" t="s">
        <v>412</v>
      </c>
      <c r="E137" s="44" t="s">
        <v>413</v>
      </c>
      <c r="F137" s="45"/>
      <c r="G137" s="46"/>
      <c r="H137" s="47"/>
      <c r="I137" s="47"/>
    </row>
    <row r="138" spans="1:9" ht="51.75" customHeight="1" x14ac:dyDescent="0.3">
      <c r="A138" s="42" t="s">
        <v>403</v>
      </c>
      <c r="B138" s="43" t="s">
        <v>414</v>
      </c>
      <c r="C138" s="42" t="s">
        <v>405</v>
      </c>
      <c r="D138" s="44" t="s">
        <v>415</v>
      </c>
      <c r="E138" s="44" t="s">
        <v>416</v>
      </c>
      <c r="F138" s="45"/>
      <c r="G138" s="46"/>
      <c r="H138" s="47"/>
      <c r="I138" s="47"/>
    </row>
    <row r="139" spans="1:9" ht="27.75" customHeight="1" x14ac:dyDescent="0.3">
      <c r="A139" s="50" t="s">
        <v>417</v>
      </c>
      <c r="B139" s="50"/>
      <c r="C139" s="50"/>
      <c r="D139" s="50"/>
      <c r="E139" s="50"/>
      <c r="F139" s="50"/>
      <c r="G139" s="50"/>
      <c r="H139" s="50"/>
      <c r="I139" s="50"/>
    </row>
    <row r="140" spans="1:9" ht="51.75" customHeight="1" x14ac:dyDescent="0.3">
      <c r="A140" s="42" t="s">
        <v>403</v>
      </c>
      <c r="B140" s="43" t="s">
        <v>418</v>
      </c>
      <c r="C140" s="42" t="s">
        <v>419</v>
      </c>
      <c r="D140" s="44" t="s">
        <v>420</v>
      </c>
      <c r="E140" s="44" t="s">
        <v>421</v>
      </c>
      <c r="F140" s="45"/>
      <c r="G140" s="46"/>
      <c r="H140" s="47"/>
      <c r="I140" s="47"/>
    </row>
    <row r="141" spans="1:9" ht="51.75" customHeight="1" x14ac:dyDescent="0.3">
      <c r="A141" s="42" t="s">
        <v>403</v>
      </c>
      <c r="B141" s="43" t="s">
        <v>422</v>
      </c>
      <c r="C141" s="42" t="s">
        <v>419</v>
      </c>
      <c r="D141" s="44" t="s">
        <v>423</v>
      </c>
      <c r="E141" s="44" t="s">
        <v>424</v>
      </c>
      <c r="F141" s="45"/>
      <c r="G141" s="46"/>
      <c r="H141" s="47"/>
      <c r="I141" s="47"/>
    </row>
    <row r="142" spans="1:9" ht="51.75" customHeight="1" x14ac:dyDescent="0.3">
      <c r="A142" s="42" t="s">
        <v>403</v>
      </c>
      <c r="B142" s="43" t="s">
        <v>425</v>
      </c>
      <c r="C142" s="42" t="s">
        <v>419</v>
      </c>
      <c r="D142" s="44" t="s">
        <v>426</v>
      </c>
      <c r="E142" s="44" t="s">
        <v>427</v>
      </c>
      <c r="F142" s="45"/>
      <c r="G142" s="46"/>
      <c r="H142" s="47"/>
      <c r="I142" s="47"/>
    </row>
    <row r="143" spans="1:9" ht="51.75" customHeight="1" x14ac:dyDescent="0.3">
      <c r="A143" s="42" t="s">
        <v>403</v>
      </c>
      <c r="B143" s="43" t="s">
        <v>428</v>
      </c>
      <c r="C143" s="42" t="s">
        <v>419</v>
      </c>
      <c r="D143" s="44" t="s">
        <v>429</v>
      </c>
      <c r="E143" s="44" t="s">
        <v>430</v>
      </c>
      <c r="F143" s="45"/>
      <c r="G143" s="46"/>
      <c r="H143" s="47"/>
      <c r="I143" s="47"/>
    </row>
  </sheetData>
  <autoFilter ref="A3:I143" xr:uid="{00000000-0009-0000-0000-000002000000}"/>
  <mergeCells count="34">
    <mergeCell ref="A1:I1"/>
    <mergeCell ref="A2:I2"/>
    <mergeCell ref="A4:I4"/>
    <mergeCell ref="A5:I5"/>
    <mergeCell ref="A9:I9"/>
    <mergeCell ref="A13:I13"/>
    <mergeCell ref="A18:I18"/>
    <mergeCell ref="A21:I21"/>
    <mergeCell ref="A26:I26"/>
    <mergeCell ref="A31:I31"/>
    <mergeCell ref="A33:I33"/>
    <mergeCell ref="A37:I37"/>
    <mergeCell ref="A44:I44"/>
    <mergeCell ref="A50:I50"/>
    <mergeCell ref="A51:I51"/>
    <mergeCell ref="A58:I58"/>
    <mergeCell ref="A63:I63"/>
    <mergeCell ref="A68:I68"/>
    <mergeCell ref="A73:I73"/>
    <mergeCell ref="A78:I78"/>
    <mergeCell ref="A83:I83"/>
    <mergeCell ref="A87:I87"/>
    <mergeCell ref="A92:I92"/>
    <mergeCell ref="A97:I97"/>
    <mergeCell ref="A102:I102"/>
    <mergeCell ref="A128:I128"/>
    <mergeCell ref="A133:I133"/>
    <mergeCell ref="A134:I134"/>
    <mergeCell ref="A139:I139"/>
    <mergeCell ref="A107:I107"/>
    <mergeCell ref="A112:I112"/>
    <mergeCell ref="A117:I117"/>
    <mergeCell ref="A122:I122"/>
    <mergeCell ref="A127:I127"/>
  </mergeCells>
  <dataValidations count="1">
    <dataValidation type="list" allowBlank="1" promptTitle="Compliance Status" prompt="Select: Compliant, Partially Compliant, Non-Compliant, or Not Applicable" sqref="F4:F143" xr:uid="{00000000-0002-0000-0200-000000000000}">
      <formula1>"Compliant,Partially Compliant,Non-Compliant,Not Applicable"</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2626"/>
  </sheetPr>
  <dimension ref="A1:I111"/>
  <sheetViews>
    <sheetView zoomScaleNormal="100" workbookViewId="0">
      <pane ySplit="3" topLeftCell="A4" activePane="bottomLeft" state="frozen"/>
      <selection pane="bottomLeft"/>
    </sheetView>
  </sheetViews>
  <sheetFormatPr defaultColWidth="8.6640625" defaultRowHeight="14.4" x14ac:dyDescent="0.3"/>
  <cols>
    <col min="1" max="1" width="5" customWidth="1"/>
    <col min="2" max="2" width="12" customWidth="1"/>
    <col min="3" max="3" width="28" customWidth="1"/>
    <col min="4" max="4" width="45" customWidth="1"/>
    <col min="5" max="5" width="60" customWidth="1"/>
    <col min="6" max="6" width="20" customWidth="1"/>
    <col min="7" max="8" width="40" customWidth="1"/>
    <col min="9" max="9" width="22" customWidth="1"/>
  </cols>
  <sheetData>
    <row r="1" spans="1:9" ht="39.75" customHeight="1" x14ac:dyDescent="0.3">
      <c r="A1" s="66" t="s">
        <v>431</v>
      </c>
      <c r="B1" s="66"/>
      <c r="C1" s="66"/>
      <c r="D1" s="66"/>
      <c r="E1" s="66"/>
      <c r="F1" s="66"/>
      <c r="G1" s="66"/>
      <c r="H1" s="66"/>
      <c r="I1" s="66"/>
    </row>
    <row r="2" spans="1:9" x14ac:dyDescent="0.3">
      <c r="A2" s="67" t="s">
        <v>432</v>
      </c>
      <c r="B2" s="67"/>
      <c r="C2" s="67"/>
      <c r="D2" s="67"/>
      <c r="E2" s="67"/>
      <c r="F2" s="67"/>
      <c r="G2" s="67"/>
      <c r="H2" s="67"/>
      <c r="I2" s="67"/>
    </row>
    <row r="3" spans="1:9" x14ac:dyDescent="0.3">
      <c r="A3" s="21" t="s">
        <v>433</v>
      </c>
      <c r="B3" s="21" t="s">
        <v>48</v>
      </c>
      <c r="C3" s="21" t="s">
        <v>49</v>
      </c>
      <c r="D3" s="21" t="s">
        <v>50</v>
      </c>
      <c r="E3" s="21" t="s">
        <v>434</v>
      </c>
      <c r="F3" s="21" t="s">
        <v>33</v>
      </c>
      <c r="G3" s="21" t="s">
        <v>435</v>
      </c>
      <c r="H3" s="21" t="s">
        <v>436</v>
      </c>
      <c r="I3" s="21" t="s">
        <v>437</v>
      </c>
    </row>
    <row r="4" spans="1:9" ht="39.75" customHeight="1" x14ac:dyDescent="0.3">
      <c r="A4" s="22" t="str">
        <f>IF(OR(Assessment!F6="Non-Compliant",Assessment!F6="Partially Compliant"),1,"")</f>
        <v/>
      </c>
      <c r="B4" s="19" t="str">
        <f>IF(OR(Assessment!F6="Non-Compliant",Assessment!F6="Partially Compliant"),Assessment!B6,"")</f>
        <v/>
      </c>
      <c r="C4" s="23" t="str">
        <f>IF(OR(Assessment!F6="Non-Compliant",Assessment!F6="Partially Compliant"),Assessment!C6,"")</f>
        <v/>
      </c>
      <c r="D4" s="24" t="str">
        <f>IF(OR(Assessment!F6="Non-Compliant",Assessment!F6="Partially Compliant"),Assessment!D6,"")</f>
        <v/>
      </c>
      <c r="E4" s="25" t="str">
        <f>IF(OR(Assessment!F6="Non-Compliant",Assessment!F6="Partially Compliant"),Assessment!E6,"")</f>
        <v/>
      </c>
      <c r="F4" s="18" t="str">
        <f>IF(OR(Assessment!F6="Non-Compliant",Assessment!F6="Partially Compliant"),Assessment!F6,"")</f>
        <v/>
      </c>
      <c r="G4" s="26"/>
      <c r="H4" s="20"/>
      <c r="I4" s="27"/>
    </row>
    <row r="5" spans="1:9" ht="39.75" customHeight="1" x14ac:dyDescent="0.3">
      <c r="A5" s="22" t="str">
        <f>IF(OR(Assessment!F7="Non-Compliant",Assessment!F7="Partially Compliant"),2,"")</f>
        <v/>
      </c>
      <c r="B5" s="19" t="str">
        <f>IF(OR(Assessment!F7="Non-Compliant",Assessment!F7="Partially Compliant"),Assessment!B7,"")</f>
        <v/>
      </c>
      <c r="C5" s="23" t="str">
        <f>IF(OR(Assessment!F7="Non-Compliant",Assessment!F7="Partially Compliant"),Assessment!C7,"")</f>
        <v/>
      </c>
      <c r="D5" s="24" t="str">
        <f>IF(OR(Assessment!F7="Non-Compliant",Assessment!F7="Partially Compliant"),Assessment!D7,"")</f>
        <v/>
      </c>
      <c r="E5" s="25" t="str">
        <f>IF(OR(Assessment!F7="Non-Compliant",Assessment!F7="Partially Compliant"),Assessment!E7,"")</f>
        <v/>
      </c>
      <c r="F5" s="18" t="str">
        <f>IF(OR(Assessment!F7="Non-Compliant",Assessment!F7="Partially Compliant"),Assessment!F7,"")</f>
        <v/>
      </c>
      <c r="G5" s="26"/>
      <c r="H5" s="20"/>
      <c r="I5" s="27"/>
    </row>
    <row r="6" spans="1:9" ht="39.75" customHeight="1" x14ac:dyDescent="0.3">
      <c r="A6" s="22" t="str">
        <f>IF(OR(Assessment!F8="Non-Compliant",Assessment!F8="Partially Compliant"),3,"")</f>
        <v/>
      </c>
      <c r="B6" s="19" t="str">
        <f>IF(OR(Assessment!F8="Non-Compliant",Assessment!F8="Partially Compliant"),Assessment!B8,"")</f>
        <v/>
      </c>
      <c r="C6" s="23" t="str">
        <f>IF(OR(Assessment!F8="Non-Compliant",Assessment!F8="Partially Compliant"),Assessment!C8,"")</f>
        <v/>
      </c>
      <c r="D6" s="24" t="str">
        <f>IF(OR(Assessment!F8="Non-Compliant",Assessment!F8="Partially Compliant"),Assessment!D8,"")</f>
        <v/>
      </c>
      <c r="E6" s="25" t="str">
        <f>IF(OR(Assessment!F8="Non-Compliant",Assessment!F8="Partially Compliant"),Assessment!E8,"")</f>
        <v/>
      </c>
      <c r="F6" s="18" t="str">
        <f>IF(OR(Assessment!F8="Non-Compliant",Assessment!F8="Partially Compliant"),Assessment!F8,"")</f>
        <v/>
      </c>
      <c r="G6" s="26"/>
      <c r="H6" s="20"/>
      <c r="I6" s="27"/>
    </row>
    <row r="7" spans="1:9" ht="39.75" customHeight="1" x14ac:dyDescent="0.3">
      <c r="A7" s="22" t="str">
        <f>IF(OR(Assessment!F10="Non-Compliant",Assessment!F10="Partially Compliant"),4,"")</f>
        <v/>
      </c>
      <c r="B7" s="19" t="str">
        <f>IF(OR(Assessment!F10="Non-Compliant",Assessment!F10="Partially Compliant"),Assessment!B10,"")</f>
        <v/>
      </c>
      <c r="C7" s="23" t="str">
        <f>IF(OR(Assessment!F10="Non-Compliant",Assessment!F10="Partially Compliant"),Assessment!C10,"")</f>
        <v/>
      </c>
      <c r="D7" s="24" t="str">
        <f>IF(OR(Assessment!F10="Non-Compliant",Assessment!F10="Partially Compliant"),Assessment!D10,"")</f>
        <v/>
      </c>
      <c r="E7" s="25" t="str">
        <f>IF(OR(Assessment!F10="Non-Compliant",Assessment!F10="Partially Compliant"),Assessment!E10,"")</f>
        <v/>
      </c>
      <c r="F7" s="18" t="str">
        <f>IF(OR(Assessment!F10="Non-Compliant",Assessment!F10="Partially Compliant"),Assessment!F10,"")</f>
        <v/>
      </c>
      <c r="G7" s="26"/>
      <c r="H7" s="20"/>
      <c r="I7" s="27"/>
    </row>
    <row r="8" spans="1:9" ht="39.75" customHeight="1" x14ac:dyDescent="0.3">
      <c r="A8" s="22" t="str">
        <f>IF(OR(Assessment!F11="Non-Compliant",Assessment!F11="Partially Compliant"),5,"")</f>
        <v/>
      </c>
      <c r="B8" s="19" t="str">
        <f>IF(OR(Assessment!F11="Non-Compliant",Assessment!F11="Partially Compliant"),Assessment!B11,"")</f>
        <v/>
      </c>
      <c r="C8" s="23" t="str">
        <f>IF(OR(Assessment!F11="Non-Compliant",Assessment!F11="Partially Compliant"),Assessment!C11,"")</f>
        <v/>
      </c>
      <c r="D8" s="24" t="str">
        <f>IF(OR(Assessment!F11="Non-Compliant",Assessment!F11="Partially Compliant"),Assessment!D11,"")</f>
        <v/>
      </c>
      <c r="E8" s="25" t="str">
        <f>IF(OR(Assessment!F11="Non-Compliant",Assessment!F11="Partially Compliant"),Assessment!E11,"")</f>
        <v/>
      </c>
      <c r="F8" s="18" t="str">
        <f>IF(OR(Assessment!F11="Non-Compliant",Assessment!F11="Partially Compliant"),Assessment!F11,"")</f>
        <v/>
      </c>
      <c r="G8" s="26"/>
      <c r="H8" s="20"/>
      <c r="I8" s="27"/>
    </row>
    <row r="9" spans="1:9" ht="39.75" customHeight="1" x14ac:dyDescent="0.3">
      <c r="A9" s="22" t="str">
        <f>IF(OR(Assessment!F12="Non-Compliant",Assessment!F12="Partially Compliant"),6,"")</f>
        <v/>
      </c>
      <c r="B9" s="19" t="str">
        <f>IF(OR(Assessment!F12="Non-Compliant",Assessment!F12="Partially Compliant"),Assessment!B12,"")</f>
        <v/>
      </c>
      <c r="C9" s="23" t="str">
        <f>IF(OR(Assessment!F12="Non-Compliant",Assessment!F12="Partially Compliant"),Assessment!C12,"")</f>
        <v/>
      </c>
      <c r="D9" s="24" t="str">
        <f>IF(OR(Assessment!F12="Non-Compliant",Assessment!F12="Partially Compliant"),Assessment!D12,"")</f>
        <v/>
      </c>
      <c r="E9" s="25" t="str">
        <f>IF(OR(Assessment!F12="Non-Compliant",Assessment!F12="Partially Compliant"),Assessment!E12,"")</f>
        <v/>
      </c>
      <c r="F9" s="18" t="str">
        <f>IF(OR(Assessment!F12="Non-Compliant",Assessment!F12="Partially Compliant"),Assessment!F12,"")</f>
        <v/>
      </c>
      <c r="G9" s="26"/>
      <c r="H9" s="20"/>
      <c r="I9" s="27"/>
    </row>
    <row r="10" spans="1:9" ht="39.75" customHeight="1" x14ac:dyDescent="0.3">
      <c r="A10" s="22" t="str">
        <f>IF(OR(Assessment!F14="Non-Compliant",Assessment!F14="Partially Compliant"),7,"")</f>
        <v/>
      </c>
      <c r="B10" s="19" t="str">
        <f>IF(OR(Assessment!F14="Non-Compliant",Assessment!F14="Partially Compliant"),Assessment!B14,"")</f>
        <v/>
      </c>
      <c r="C10" s="23" t="str">
        <f>IF(OR(Assessment!F14="Non-Compliant",Assessment!F14="Partially Compliant"),Assessment!C14,"")</f>
        <v/>
      </c>
      <c r="D10" s="24" t="str">
        <f>IF(OR(Assessment!F14="Non-Compliant",Assessment!F14="Partially Compliant"),Assessment!D14,"")</f>
        <v/>
      </c>
      <c r="E10" s="25" t="str">
        <f>IF(OR(Assessment!F14="Non-Compliant",Assessment!F14="Partially Compliant"),Assessment!E14,"")</f>
        <v/>
      </c>
      <c r="F10" s="18" t="str">
        <f>IF(OR(Assessment!F14="Non-Compliant",Assessment!F14="Partially Compliant"),Assessment!F14,"")</f>
        <v/>
      </c>
      <c r="G10" s="26"/>
      <c r="H10" s="20"/>
      <c r="I10" s="27"/>
    </row>
    <row r="11" spans="1:9" ht="39.75" customHeight="1" x14ac:dyDescent="0.3">
      <c r="A11" s="22" t="str">
        <f>IF(OR(Assessment!F15="Non-Compliant",Assessment!F15="Partially Compliant"),8,"")</f>
        <v/>
      </c>
      <c r="B11" s="19" t="str">
        <f>IF(OR(Assessment!F15="Non-Compliant",Assessment!F15="Partially Compliant"),Assessment!B15,"")</f>
        <v/>
      </c>
      <c r="C11" s="23" t="str">
        <f>IF(OR(Assessment!F15="Non-Compliant",Assessment!F15="Partially Compliant"),Assessment!C15,"")</f>
        <v/>
      </c>
      <c r="D11" s="24" t="str">
        <f>IF(OR(Assessment!F15="Non-Compliant",Assessment!F15="Partially Compliant"),Assessment!D15,"")</f>
        <v/>
      </c>
      <c r="E11" s="25" t="str">
        <f>IF(OR(Assessment!F15="Non-Compliant",Assessment!F15="Partially Compliant"),Assessment!E15,"")</f>
        <v/>
      </c>
      <c r="F11" s="18" t="str">
        <f>IF(OR(Assessment!F15="Non-Compliant",Assessment!F15="Partially Compliant"),Assessment!F15,"")</f>
        <v/>
      </c>
      <c r="G11" s="26"/>
      <c r="H11" s="20"/>
      <c r="I11" s="27"/>
    </row>
    <row r="12" spans="1:9" ht="39.75" customHeight="1" x14ac:dyDescent="0.3">
      <c r="A12" s="22" t="str">
        <f>IF(OR(Assessment!F16="Non-Compliant",Assessment!F16="Partially Compliant"),9,"")</f>
        <v/>
      </c>
      <c r="B12" s="19" t="str">
        <f>IF(OR(Assessment!F16="Non-Compliant",Assessment!F16="Partially Compliant"),Assessment!B16,"")</f>
        <v/>
      </c>
      <c r="C12" s="23" t="str">
        <f>IF(OR(Assessment!F16="Non-Compliant",Assessment!F16="Partially Compliant"),Assessment!C16,"")</f>
        <v/>
      </c>
      <c r="D12" s="24" t="str">
        <f>IF(OR(Assessment!F16="Non-Compliant",Assessment!F16="Partially Compliant"),Assessment!D16,"")</f>
        <v/>
      </c>
      <c r="E12" s="25" t="str">
        <f>IF(OR(Assessment!F16="Non-Compliant",Assessment!F16="Partially Compliant"),Assessment!E16,"")</f>
        <v/>
      </c>
      <c r="F12" s="18" t="str">
        <f>IF(OR(Assessment!F16="Non-Compliant",Assessment!F16="Partially Compliant"),Assessment!F16,"")</f>
        <v/>
      </c>
      <c r="G12" s="26"/>
      <c r="H12" s="20"/>
      <c r="I12" s="27"/>
    </row>
    <row r="13" spans="1:9" ht="39.75" customHeight="1" x14ac:dyDescent="0.3">
      <c r="A13" s="22" t="str">
        <f>IF(OR(Assessment!F17="Non-Compliant",Assessment!F17="Partially Compliant"),10,"")</f>
        <v/>
      </c>
      <c r="B13" s="19" t="str">
        <f>IF(OR(Assessment!F17="Non-Compliant",Assessment!F17="Partially Compliant"),Assessment!B17,"")</f>
        <v/>
      </c>
      <c r="C13" s="23" t="str">
        <f>IF(OR(Assessment!F17="Non-Compliant",Assessment!F17="Partially Compliant"),Assessment!C17,"")</f>
        <v/>
      </c>
      <c r="D13" s="24" t="str">
        <f>IF(OR(Assessment!F17="Non-Compliant",Assessment!F17="Partially Compliant"),Assessment!D17,"")</f>
        <v/>
      </c>
      <c r="E13" s="25" t="str">
        <f>IF(OR(Assessment!F17="Non-Compliant",Assessment!F17="Partially Compliant"),Assessment!E17,"")</f>
        <v/>
      </c>
      <c r="F13" s="18" t="str">
        <f>IF(OR(Assessment!F17="Non-Compliant",Assessment!F17="Partially Compliant"),Assessment!F17,"")</f>
        <v/>
      </c>
      <c r="G13" s="26"/>
      <c r="H13" s="20"/>
      <c r="I13" s="27"/>
    </row>
    <row r="14" spans="1:9" ht="39.75" customHeight="1" x14ac:dyDescent="0.3">
      <c r="A14" s="22" t="str">
        <f>IF(OR(Assessment!F19="Non-Compliant",Assessment!F19="Partially Compliant"),11,"")</f>
        <v/>
      </c>
      <c r="B14" s="19" t="str">
        <f>IF(OR(Assessment!F19="Non-Compliant",Assessment!F19="Partially Compliant"),Assessment!B19,"")</f>
        <v/>
      </c>
      <c r="C14" s="23" t="str">
        <f>IF(OR(Assessment!F19="Non-Compliant",Assessment!F19="Partially Compliant"),Assessment!C19,"")</f>
        <v/>
      </c>
      <c r="D14" s="24" t="str">
        <f>IF(OR(Assessment!F19="Non-Compliant",Assessment!F19="Partially Compliant"),Assessment!D19,"")</f>
        <v/>
      </c>
      <c r="E14" s="25" t="str">
        <f>IF(OR(Assessment!F19="Non-Compliant",Assessment!F19="Partially Compliant"),Assessment!E19,"")</f>
        <v/>
      </c>
      <c r="F14" s="18" t="str">
        <f>IF(OR(Assessment!F19="Non-Compliant",Assessment!F19="Partially Compliant"),Assessment!F19,"")</f>
        <v/>
      </c>
      <c r="G14" s="26"/>
      <c r="H14" s="20"/>
      <c r="I14" s="27"/>
    </row>
    <row r="15" spans="1:9" ht="39.75" customHeight="1" x14ac:dyDescent="0.3">
      <c r="A15" s="22" t="str">
        <f>IF(OR(Assessment!F20="Non-Compliant",Assessment!F20="Partially Compliant"),12,"")</f>
        <v/>
      </c>
      <c r="B15" s="19" t="str">
        <f>IF(OR(Assessment!F20="Non-Compliant",Assessment!F20="Partially Compliant"),Assessment!B20,"")</f>
        <v/>
      </c>
      <c r="C15" s="23" t="str">
        <f>IF(OR(Assessment!F20="Non-Compliant",Assessment!F20="Partially Compliant"),Assessment!C20,"")</f>
        <v/>
      </c>
      <c r="D15" s="24" t="str">
        <f>IF(OR(Assessment!F20="Non-Compliant",Assessment!F20="Partially Compliant"),Assessment!D20,"")</f>
        <v/>
      </c>
      <c r="E15" s="25" t="str">
        <f>IF(OR(Assessment!F20="Non-Compliant",Assessment!F20="Partially Compliant"),Assessment!E20,"")</f>
        <v/>
      </c>
      <c r="F15" s="18" t="str">
        <f>IF(OR(Assessment!F20="Non-Compliant",Assessment!F20="Partially Compliant"),Assessment!F20,"")</f>
        <v/>
      </c>
      <c r="G15" s="26"/>
      <c r="H15" s="20"/>
      <c r="I15" s="27"/>
    </row>
    <row r="16" spans="1:9" ht="39.75" customHeight="1" x14ac:dyDescent="0.3">
      <c r="A16" s="22" t="str">
        <f>IF(OR(Assessment!F22="Non-Compliant",Assessment!F22="Partially Compliant"),13,"")</f>
        <v/>
      </c>
      <c r="B16" s="19" t="str">
        <f>IF(OR(Assessment!F22="Non-Compliant",Assessment!F22="Partially Compliant"),Assessment!B22,"")</f>
        <v/>
      </c>
      <c r="C16" s="23" t="str">
        <f>IF(OR(Assessment!F22="Non-Compliant",Assessment!F22="Partially Compliant"),Assessment!C22,"")</f>
        <v/>
      </c>
      <c r="D16" s="24" t="str">
        <f>IF(OR(Assessment!F22="Non-Compliant",Assessment!F22="Partially Compliant"),Assessment!D22,"")</f>
        <v/>
      </c>
      <c r="E16" s="25" t="str">
        <f>IF(OR(Assessment!F22="Non-Compliant",Assessment!F22="Partially Compliant"),Assessment!E22,"")</f>
        <v/>
      </c>
      <c r="F16" s="18" t="str">
        <f>IF(OR(Assessment!F22="Non-Compliant",Assessment!F22="Partially Compliant"),Assessment!F22,"")</f>
        <v/>
      </c>
      <c r="G16" s="26"/>
      <c r="H16" s="20"/>
      <c r="I16" s="27"/>
    </row>
    <row r="17" spans="1:9" ht="39.75" customHeight="1" x14ac:dyDescent="0.3">
      <c r="A17" s="22" t="str">
        <f>IF(OR(Assessment!F23="Non-Compliant",Assessment!F23="Partially Compliant"),14,"")</f>
        <v/>
      </c>
      <c r="B17" s="19" t="str">
        <f>IF(OR(Assessment!F23="Non-Compliant",Assessment!F23="Partially Compliant"),Assessment!B23,"")</f>
        <v/>
      </c>
      <c r="C17" s="23" t="str">
        <f>IF(OR(Assessment!F23="Non-Compliant",Assessment!F23="Partially Compliant"),Assessment!C23,"")</f>
        <v/>
      </c>
      <c r="D17" s="24" t="str">
        <f>IF(OR(Assessment!F23="Non-Compliant",Assessment!F23="Partially Compliant"),Assessment!D23,"")</f>
        <v/>
      </c>
      <c r="E17" s="25" t="str">
        <f>IF(OR(Assessment!F23="Non-Compliant",Assessment!F23="Partially Compliant"),Assessment!E23,"")</f>
        <v/>
      </c>
      <c r="F17" s="18" t="str">
        <f>IF(OR(Assessment!F23="Non-Compliant",Assessment!F23="Partially Compliant"),Assessment!F23,"")</f>
        <v/>
      </c>
      <c r="G17" s="26"/>
      <c r="H17" s="20"/>
      <c r="I17" s="27"/>
    </row>
    <row r="18" spans="1:9" ht="39.75" customHeight="1" x14ac:dyDescent="0.3">
      <c r="A18" s="22" t="str">
        <f>IF(OR(Assessment!F24="Non-Compliant",Assessment!F24="Partially Compliant"),15,"")</f>
        <v/>
      </c>
      <c r="B18" s="19" t="str">
        <f>IF(OR(Assessment!F24="Non-Compliant",Assessment!F24="Partially Compliant"),Assessment!B24,"")</f>
        <v/>
      </c>
      <c r="C18" s="23" t="str">
        <f>IF(OR(Assessment!F24="Non-Compliant",Assessment!F24="Partially Compliant"),Assessment!C24,"")</f>
        <v/>
      </c>
      <c r="D18" s="24" t="str">
        <f>IF(OR(Assessment!F24="Non-Compliant",Assessment!F24="Partially Compliant"),Assessment!D24,"")</f>
        <v/>
      </c>
      <c r="E18" s="25" t="str">
        <f>IF(OR(Assessment!F24="Non-Compliant",Assessment!F24="Partially Compliant"),Assessment!E24,"")</f>
        <v/>
      </c>
      <c r="F18" s="18" t="str">
        <f>IF(OR(Assessment!F24="Non-Compliant",Assessment!F24="Partially Compliant"),Assessment!F24,"")</f>
        <v/>
      </c>
      <c r="G18" s="26"/>
      <c r="H18" s="20"/>
      <c r="I18" s="27"/>
    </row>
    <row r="19" spans="1:9" ht="39.75" customHeight="1" x14ac:dyDescent="0.3">
      <c r="A19" s="22" t="str">
        <f>IF(OR(Assessment!F25="Non-Compliant",Assessment!F25="Partially Compliant"),16,"")</f>
        <v/>
      </c>
      <c r="B19" s="19" t="str">
        <f>IF(OR(Assessment!F25="Non-Compliant",Assessment!F25="Partially Compliant"),Assessment!B25,"")</f>
        <v/>
      </c>
      <c r="C19" s="23" t="str">
        <f>IF(OR(Assessment!F25="Non-Compliant",Assessment!F25="Partially Compliant"),Assessment!C25,"")</f>
        <v/>
      </c>
      <c r="D19" s="24" t="str">
        <f>IF(OR(Assessment!F25="Non-Compliant",Assessment!F25="Partially Compliant"),Assessment!D25,"")</f>
        <v/>
      </c>
      <c r="E19" s="25" t="str">
        <f>IF(OR(Assessment!F25="Non-Compliant",Assessment!F25="Partially Compliant"),Assessment!E25,"")</f>
        <v/>
      </c>
      <c r="F19" s="18" t="str">
        <f>IF(OR(Assessment!F25="Non-Compliant",Assessment!F25="Partially Compliant"),Assessment!F25,"")</f>
        <v/>
      </c>
      <c r="G19" s="26"/>
      <c r="H19" s="20"/>
      <c r="I19" s="27"/>
    </row>
    <row r="20" spans="1:9" ht="39.75" customHeight="1" x14ac:dyDescent="0.3">
      <c r="A20" s="22" t="str">
        <f>IF(OR(Assessment!F27="Non-Compliant",Assessment!F27="Partially Compliant"),17,"")</f>
        <v/>
      </c>
      <c r="B20" s="19" t="str">
        <f>IF(OR(Assessment!F27="Non-Compliant",Assessment!F27="Partially Compliant"),Assessment!B27,"")</f>
        <v/>
      </c>
      <c r="C20" s="23" t="str">
        <f>IF(OR(Assessment!F27="Non-Compliant",Assessment!F27="Partially Compliant"),Assessment!C27,"")</f>
        <v/>
      </c>
      <c r="D20" s="24" t="str">
        <f>IF(OR(Assessment!F27="Non-Compliant",Assessment!F27="Partially Compliant"),Assessment!D27,"")</f>
        <v/>
      </c>
      <c r="E20" s="25" t="str">
        <f>IF(OR(Assessment!F27="Non-Compliant",Assessment!F27="Partially Compliant"),Assessment!E27,"")</f>
        <v/>
      </c>
      <c r="F20" s="18" t="str">
        <f>IF(OR(Assessment!F27="Non-Compliant",Assessment!F27="Partially Compliant"),Assessment!F27,"")</f>
        <v/>
      </c>
      <c r="G20" s="26"/>
      <c r="H20" s="20"/>
      <c r="I20" s="27"/>
    </row>
    <row r="21" spans="1:9" ht="39.75" customHeight="1" x14ac:dyDescent="0.3">
      <c r="A21" s="22" t="str">
        <f>IF(OR(Assessment!F28="Non-Compliant",Assessment!F28="Partially Compliant"),18,"")</f>
        <v/>
      </c>
      <c r="B21" s="19" t="str">
        <f>IF(OR(Assessment!F28="Non-Compliant",Assessment!F28="Partially Compliant"),Assessment!B28,"")</f>
        <v/>
      </c>
      <c r="C21" s="23" t="str">
        <f>IF(OR(Assessment!F28="Non-Compliant",Assessment!F28="Partially Compliant"),Assessment!C28,"")</f>
        <v/>
      </c>
      <c r="D21" s="24" t="str">
        <f>IF(OR(Assessment!F28="Non-Compliant",Assessment!F28="Partially Compliant"),Assessment!D28,"")</f>
        <v/>
      </c>
      <c r="E21" s="25" t="str">
        <f>IF(OR(Assessment!F28="Non-Compliant",Assessment!F28="Partially Compliant"),Assessment!E28,"")</f>
        <v/>
      </c>
      <c r="F21" s="18" t="str">
        <f>IF(OR(Assessment!F28="Non-Compliant",Assessment!F28="Partially Compliant"),Assessment!F28,"")</f>
        <v/>
      </c>
      <c r="G21" s="26"/>
      <c r="H21" s="20"/>
      <c r="I21" s="27"/>
    </row>
    <row r="22" spans="1:9" ht="39.75" customHeight="1" x14ac:dyDescent="0.3">
      <c r="A22" s="22" t="str">
        <f>IF(OR(Assessment!F29="Non-Compliant",Assessment!F29="Partially Compliant"),19,"")</f>
        <v/>
      </c>
      <c r="B22" s="19" t="str">
        <f>IF(OR(Assessment!F29="Non-Compliant",Assessment!F29="Partially Compliant"),Assessment!B29,"")</f>
        <v/>
      </c>
      <c r="C22" s="23" t="str">
        <f>IF(OR(Assessment!F29="Non-Compliant",Assessment!F29="Partially Compliant"),Assessment!C29,"")</f>
        <v/>
      </c>
      <c r="D22" s="24" t="str">
        <f>IF(OR(Assessment!F29="Non-Compliant",Assessment!F29="Partially Compliant"),Assessment!D29,"")</f>
        <v/>
      </c>
      <c r="E22" s="25" t="str">
        <f>IF(OR(Assessment!F29="Non-Compliant",Assessment!F29="Partially Compliant"),Assessment!E29,"")</f>
        <v/>
      </c>
      <c r="F22" s="18" t="str">
        <f>IF(OR(Assessment!F29="Non-Compliant",Assessment!F29="Partially Compliant"),Assessment!F29,"")</f>
        <v/>
      </c>
      <c r="G22" s="26"/>
      <c r="H22" s="20"/>
      <c r="I22" s="27"/>
    </row>
    <row r="23" spans="1:9" ht="39.75" customHeight="1" x14ac:dyDescent="0.3">
      <c r="A23" s="22" t="str">
        <f>IF(OR(Assessment!F30="Non-Compliant",Assessment!F30="Partially Compliant"),20,"")</f>
        <v/>
      </c>
      <c r="B23" s="19" t="str">
        <f>IF(OR(Assessment!F30="Non-Compliant",Assessment!F30="Partially Compliant"),Assessment!B30,"")</f>
        <v/>
      </c>
      <c r="C23" s="23" t="str">
        <f>IF(OR(Assessment!F30="Non-Compliant",Assessment!F30="Partially Compliant"),Assessment!C30,"")</f>
        <v/>
      </c>
      <c r="D23" s="24" t="str">
        <f>IF(OR(Assessment!F30="Non-Compliant",Assessment!F30="Partially Compliant"),Assessment!D30,"")</f>
        <v/>
      </c>
      <c r="E23" s="25" t="str">
        <f>IF(OR(Assessment!F30="Non-Compliant",Assessment!F30="Partially Compliant"),Assessment!E30,"")</f>
        <v/>
      </c>
      <c r="F23" s="18" t="str">
        <f>IF(OR(Assessment!F30="Non-Compliant",Assessment!F30="Partially Compliant"),Assessment!F30,"")</f>
        <v/>
      </c>
      <c r="G23" s="26"/>
      <c r="H23" s="20"/>
      <c r="I23" s="27"/>
    </row>
    <row r="24" spans="1:9" ht="39.75" customHeight="1" x14ac:dyDescent="0.3">
      <c r="A24" s="22" t="str">
        <f>IF(OR(Assessment!F32="Non-Compliant",Assessment!F32="Partially Compliant"),21,"")</f>
        <v/>
      </c>
      <c r="B24" s="19" t="str">
        <f>IF(OR(Assessment!F32="Non-Compliant",Assessment!F32="Partially Compliant"),Assessment!B32,"")</f>
        <v/>
      </c>
      <c r="C24" s="23" t="str">
        <f>IF(OR(Assessment!F32="Non-Compliant",Assessment!F32="Partially Compliant"),Assessment!C32,"")</f>
        <v/>
      </c>
      <c r="D24" s="24" t="str">
        <f>IF(OR(Assessment!F32="Non-Compliant",Assessment!F32="Partially Compliant"),Assessment!D32,"")</f>
        <v/>
      </c>
      <c r="E24" s="25" t="str">
        <f>IF(OR(Assessment!F32="Non-Compliant",Assessment!F32="Partially Compliant"),Assessment!E32,"")</f>
        <v/>
      </c>
      <c r="F24" s="18" t="str">
        <f>IF(OR(Assessment!F32="Non-Compliant",Assessment!F32="Partially Compliant"),Assessment!F32,"")</f>
        <v/>
      </c>
      <c r="G24" s="26"/>
      <c r="H24" s="20"/>
      <c r="I24" s="27"/>
    </row>
    <row r="25" spans="1:9" ht="39.75" customHeight="1" x14ac:dyDescent="0.3">
      <c r="A25" s="22" t="str">
        <f>IF(OR(Assessment!F34="Non-Compliant",Assessment!F34="Partially Compliant"),22,"")</f>
        <v/>
      </c>
      <c r="B25" s="19" t="str">
        <f>IF(OR(Assessment!F34="Non-Compliant",Assessment!F34="Partially Compliant"),Assessment!B34,"")</f>
        <v/>
      </c>
      <c r="C25" s="23" t="str">
        <f>IF(OR(Assessment!F34="Non-Compliant",Assessment!F34="Partially Compliant"),Assessment!C34,"")</f>
        <v/>
      </c>
      <c r="D25" s="24" t="str">
        <f>IF(OR(Assessment!F34="Non-Compliant",Assessment!F34="Partially Compliant"),Assessment!D34,"")</f>
        <v/>
      </c>
      <c r="E25" s="25" t="str">
        <f>IF(OR(Assessment!F34="Non-Compliant",Assessment!F34="Partially Compliant"),Assessment!E34,"")</f>
        <v/>
      </c>
      <c r="F25" s="18" t="str">
        <f>IF(OR(Assessment!F34="Non-Compliant",Assessment!F34="Partially Compliant"),Assessment!F34,"")</f>
        <v/>
      </c>
      <c r="G25" s="26"/>
      <c r="H25" s="20"/>
      <c r="I25" s="27"/>
    </row>
    <row r="26" spans="1:9" ht="39.75" customHeight="1" x14ac:dyDescent="0.3">
      <c r="A26" s="22" t="str">
        <f>IF(OR(Assessment!F35="Non-Compliant",Assessment!F35="Partially Compliant"),23,"")</f>
        <v/>
      </c>
      <c r="B26" s="19" t="str">
        <f>IF(OR(Assessment!F35="Non-Compliant",Assessment!F35="Partially Compliant"),Assessment!B35,"")</f>
        <v/>
      </c>
      <c r="C26" s="23" t="str">
        <f>IF(OR(Assessment!F35="Non-Compliant",Assessment!F35="Partially Compliant"),Assessment!C35,"")</f>
        <v/>
      </c>
      <c r="D26" s="24" t="str">
        <f>IF(OR(Assessment!F35="Non-Compliant",Assessment!F35="Partially Compliant"),Assessment!D35,"")</f>
        <v/>
      </c>
      <c r="E26" s="25" t="str">
        <f>IF(OR(Assessment!F35="Non-Compliant",Assessment!F35="Partially Compliant"),Assessment!E35,"")</f>
        <v/>
      </c>
      <c r="F26" s="18" t="str">
        <f>IF(OR(Assessment!F35="Non-Compliant",Assessment!F35="Partially Compliant"),Assessment!F35,"")</f>
        <v/>
      </c>
      <c r="G26" s="26"/>
      <c r="H26" s="20"/>
      <c r="I26" s="27"/>
    </row>
    <row r="27" spans="1:9" ht="39.75" customHeight="1" x14ac:dyDescent="0.3">
      <c r="A27" s="22" t="str">
        <f>IF(OR(Assessment!F36="Non-Compliant",Assessment!F36="Partially Compliant"),24,"")</f>
        <v/>
      </c>
      <c r="B27" s="19" t="str">
        <f>IF(OR(Assessment!F36="Non-Compliant",Assessment!F36="Partially Compliant"),Assessment!B36,"")</f>
        <v/>
      </c>
      <c r="C27" s="23" t="str">
        <f>IF(OR(Assessment!F36="Non-Compliant",Assessment!F36="Partially Compliant"),Assessment!C36,"")</f>
        <v/>
      </c>
      <c r="D27" s="24" t="str">
        <f>IF(OR(Assessment!F36="Non-Compliant",Assessment!F36="Partially Compliant"),Assessment!D36,"")</f>
        <v/>
      </c>
      <c r="E27" s="25" t="str">
        <f>IF(OR(Assessment!F36="Non-Compliant",Assessment!F36="Partially Compliant"),Assessment!E36,"")</f>
        <v/>
      </c>
      <c r="F27" s="18" t="str">
        <f>IF(OR(Assessment!F36="Non-Compliant",Assessment!F36="Partially Compliant"),Assessment!F36,"")</f>
        <v/>
      </c>
      <c r="G27" s="26"/>
      <c r="H27" s="20"/>
      <c r="I27" s="27"/>
    </row>
    <row r="28" spans="1:9" ht="39.75" customHeight="1" x14ac:dyDescent="0.3">
      <c r="A28" s="22" t="str">
        <f>IF(OR(Assessment!F38="Non-Compliant",Assessment!F38="Partially Compliant"),25,"")</f>
        <v/>
      </c>
      <c r="B28" s="19" t="str">
        <f>IF(OR(Assessment!F38="Non-Compliant",Assessment!F38="Partially Compliant"),Assessment!B38,"")</f>
        <v/>
      </c>
      <c r="C28" s="23" t="str">
        <f>IF(OR(Assessment!F38="Non-Compliant",Assessment!F38="Partially Compliant"),Assessment!C38,"")</f>
        <v/>
      </c>
      <c r="D28" s="24" t="str">
        <f>IF(OR(Assessment!F38="Non-Compliant",Assessment!F38="Partially Compliant"),Assessment!D38,"")</f>
        <v/>
      </c>
      <c r="E28" s="25" t="str">
        <f>IF(OR(Assessment!F38="Non-Compliant",Assessment!F38="Partially Compliant"),Assessment!E38,"")</f>
        <v/>
      </c>
      <c r="F28" s="18" t="str">
        <f>IF(OR(Assessment!F38="Non-Compliant",Assessment!F38="Partially Compliant"),Assessment!F38,"")</f>
        <v/>
      </c>
      <c r="G28" s="26"/>
      <c r="H28" s="20"/>
      <c r="I28" s="27"/>
    </row>
    <row r="29" spans="1:9" ht="39.75" customHeight="1" x14ac:dyDescent="0.3">
      <c r="A29" s="22" t="str">
        <f>IF(OR(Assessment!F39="Non-Compliant",Assessment!F39="Partially Compliant"),26,"")</f>
        <v/>
      </c>
      <c r="B29" s="19" t="str">
        <f>IF(OR(Assessment!F39="Non-Compliant",Assessment!F39="Partially Compliant"),Assessment!B39,"")</f>
        <v/>
      </c>
      <c r="C29" s="23" t="str">
        <f>IF(OR(Assessment!F39="Non-Compliant",Assessment!F39="Partially Compliant"),Assessment!C39,"")</f>
        <v/>
      </c>
      <c r="D29" s="24" t="str">
        <f>IF(OR(Assessment!F39="Non-Compliant",Assessment!F39="Partially Compliant"),Assessment!D39,"")</f>
        <v/>
      </c>
      <c r="E29" s="25" t="str">
        <f>IF(OR(Assessment!F39="Non-Compliant",Assessment!F39="Partially Compliant"),Assessment!E39,"")</f>
        <v/>
      </c>
      <c r="F29" s="18" t="str">
        <f>IF(OR(Assessment!F39="Non-Compliant",Assessment!F39="Partially Compliant"),Assessment!F39,"")</f>
        <v/>
      </c>
      <c r="G29" s="26"/>
      <c r="H29" s="20"/>
      <c r="I29" s="27"/>
    </row>
    <row r="30" spans="1:9" ht="39.75" customHeight="1" x14ac:dyDescent="0.3">
      <c r="A30" s="22" t="str">
        <f>IF(OR(Assessment!F40="Non-Compliant",Assessment!F40="Partially Compliant"),27,"")</f>
        <v/>
      </c>
      <c r="B30" s="19" t="str">
        <f>IF(OR(Assessment!F40="Non-Compliant",Assessment!F40="Partially Compliant"),Assessment!B40,"")</f>
        <v/>
      </c>
      <c r="C30" s="23" t="str">
        <f>IF(OR(Assessment!F40="Non-Compliant",Assessment!F40="Partially Compliant"),Assessment!C40,"")</f>
        <v/>
      </c>
      <c r="D30" s="24" t="str">
        <f>IF(OR(Assessment!F40="Non-Compliant",Assessment!F40="Partially Compliant"),Assessment!D40,"")</f>
        <v/>
      </c>
      <c r="E30" s="25" t="str">
        <f>IF(OR(Assessment!F40="Non-Compliant",Assessment!F40="Partially Compliant"),Assessment!E40,"")</f>
        <v/>
      </c>
      <c r="F30" s="18" t="str">
        <f>IF(OR(Assessment!F40="Non-Compliant",Assessment!F40="Partially Compliant"),Assessment!F40,"")</f>
        <v/>
      </c>
      <c r="G30" s="26"/>
      <c r="H30" s="20"/>
      <c r="I30" s="27"/>
    </row>
    <row r="31" spans="1:9" ht="39.75" customHeight="1" x14ac:dyDescent="0.3">
      <c r="A31" s="22" t="str">
        <f>IF(OR(Assessment!F41="Non-Compliant",Assessment!F41="Partially Compliant"),28,"")</f>
        <v/>
      </c>
      <c r="B31" s="19" t="str">
        <f>IF(OR(Assessment!F41="Non-Compliant",Assessment!F41="Partially Compliant"),Assessment!B41,"")</f>
        <v/>
      </c>
      <c r="C31" s="23" t="str">
        <f>IF(OR(Assessment!F41="Non-Compliant",Assessment!F41="Partially Compliant"),Assessment!C41,"")</f>
        <v/>
      </c>
      <c r="D31" s="24" t="str">
        <f>IF(OR(Assessment!F41="Non-Compliant",Assessment!F41="Partially Compliant"),Assessment!D41,"")</f>
        <v/>
      </c>
      <c r="E31" s="25" t="str">
        <f>IF(OR(Assessment!F41="Non-Compliant",Assessment!F41="Partially Compliant"),Assessment!E41,"")</f>
        <v/>
      </c>
      <c r="F31" s="18" t="str">
        <f>IF(OR(Assessment!F41="Non-Compliant",Assessment!F41="Partially Compliant"),Assessment!F41,"")</f>
        <v/>
      </c>
      <c r="G31" s="26"/>
      <c r="H31" s="20"/>
      <c r="I31" s="27"/>
    </row>
    <row r="32" spans="1:9" ht="39.75" customHeight="1" x14ac:dyDescent="0.3">
      <c r="A32" s="22" t="str">
        <f>IF(OR(Assessment!F42="Non-Compliant",Assessment!F42="Partially Compliant"),29,"")</f>
        <v/>
      </c>
      <c r="B32" s="19" t="str">
        <f>IF(OR(Assessment!F42="Non-Compliant",Assessment!F42="Partially Compliant"),Assessment!B42,"")</f>
        <v/>
      </c>
      <c r="C32" s="23" t="str">
        <f>IF(OR(Assessment!F42="Non-Compliant",Assessment!F42="Partially Compliant"),Assessment!C42,"")</f>
        <v/>
      </c>
      <c r="D32" s="24" t="str">
        <f>IF(OR(Assessment!F42="Non-Compliant",Assessment!F42="Partially Compliant"),Assessment!D42,"")</f>
        <v/>
      </c>
      <c r="E32" s="25" t="str">
        <f>IF(OR(Assessment!F42="Non-Compliant",Assessment!F42="Partially Compliant"),Assessment!E42,"")</f>
        <v/>
      </c>
      <c r="F32" s="18" t="str">
        <f>IF(OR(Assessment!F42="Non-Compliant",Assessment!F42="Partially Compliant"),Assessment!F42,"")</f>
        <v/>
      </c>
      <c r="G32" s="26"/>
      <c r="H32" s="20"/>
      <c r="I32" s="27"/>
    </row>
    <row r="33" spans="1:9" ht="39.75" customHeight="1" x14ac:dyDescent="0.3">
      <c r="A33" s="22" t="str">
        <f>IF(OR(Assessment!F43="Non-Compliant",Assessment!F43="Partially Compliant"),30,"")</f>
        <v/>
      </c>
      <c r="B33" s="19" t="str">
        <f>IF(OR(Assessment!F43="Non-Compliant",Assessment!F43="Partially Compliant"),Assessment!B43,"")</f>
        <v/>
      </c>
      <c r="C33" s="23" t="str">
        <f>IF(OR(Assessment!F43="Non-Compliant",Assessment!F43="Partially Compliant"),Assessment!C43,"")</f>
        <v/>
      </c>
      <c r="D33" s="24" t="str">
        <f>IF(OR(Assessment!F43="Non-Compliant",Assessment!F43="Partially Compliant"),Assessment!D43,"")</f>
        <v/>
      </c>
      <c r="E33" s="25" t="str">
        <f>IF(OR(Assessment!F43="Non-Compliant",Assessment!F43="Partially Compliant"),Assessment!E43,"")</f>
        <v/>
      </c>
      <c r="F33" s="18" t="str">
        <f>IF(OR(Assessment!F43="Non-Compliant",Assessment!F43="Partially Compliant"),Assessment!F43,"")</f>
        <v/>
      </c>
      <c r="G33" s="26"/>
      <c r="H33" s="20"/>
      <c r="I33" s="27"/>
    </row>
    <row r="34" spans="1:9" ht="39.75" customHeight="1" x14ac:dyDescent="0.3">
      <c r="A34" s="22" t="str">
        <f>IF(OR(Assessment!F45="Non-Compliant",Assessment!F45="Partially Compliant"),31,"")</f>
        <v/>
      </c>
      <c r="B34" s="19" t="str">
        <f>IF(OR(Assessment!F45="Non-Compliant",Assessment!F45="Partially Compliant"),Assessment!B45,"")</f>
        <v/>
      </c>
      <c r="C34" s="23" t="str">
        <f>IF(OR(Assessment!F45="Non-Compliant",Assessment!F45="Partially Compliant"),Assessment!C45,"")</f>
        <v/>
      </c>
      <c r="D34" s="24" t="str">
        <f>IF(OR(Assessment!F45="Non-Compliant",Assessment!F45="Partially Compliant"),Assessment!D45,"")</f>
        <v/>
      </c>
      <c r="E34" s="25" t="str">
        <f>IF(OR(Assessment!F45="Non-Compliant",Assessment!F45="Partially Compliant"),Assessment!E45,"")</f>
        <v/>
      </c>
      <c r="F34" s="18" t="str">
        <f>IF(OR(Assessment!F45="Non-Compliant",Assessment!F45="Partially Compliant"),Assessment!F45,"")</f>
        <v/>
      </c>
      <c r="G34" s="26"/>
      <c r="H34" s="20"/>
      <c r="I34" s="27"/>
    </row>
    <row r="35" spans="1:9" ht="39.75" customHeight="1" x14ac:dyDescent="0.3">
      <c r="A35" s="22" t="str">
        <f>IF(OR(Assessment!F46="Non-Compliant",Assessment!F46="Partially Compliant"),32,"")</f>
        <v/>
      </c>
      <c r="B35" s="19" t="str">
        <f>IF(OR(Assessment!F46="Non-Compliant",Assessment!F46="Partially Compliant"),Assessment!B46,"")</f>
        <v/>
      </c>
      <c r="C35" s="23" t="str">
        <f>IF(OR(Assessment!F46="Non-Compliant",Assessment!F46="Partially Compliant"),Assessment!C46,"")</f>
        <v/>
      </c>
      <c r="D35" s="24" t="str">
        <f>IF(OR(Assessment!F46="Non-Compliant",Assessment!F46="Partially Compliant"),Assessment!D46,"")</f>
        <v/>
      </c>
      <c r="E35" s="25" t="str">
        <f>IF(OR(Assessment!F46="Non-Compliant",Assessment!F46="Partially Compliant"),Assessment!E46,"")</f>
        <v/>
      </c>
      <c r="F35" s="18" t="str">
        <f>IF(OR(Assessment!F46="Non-Compliant",Assessment!F46="Partially Compliant"),Assessment!F46,"")</f>
        <v/>
      </c>
      <c r="G35" s="26"/>
      <c r="H35" s="20"/>
      <c r="I35" s="27"/>
    </row>
    <row r="36" spans="1:9" ht="39.75" customHeight="1" x14ac:dyDescent="0.3">
      <c r="A36" s="22" t="str">
        <f>IF(OR(Assessment!F47="Non-Compliant",Assessment!F47="Partially Compliant"),33,"")</f>
        <v/>
      </c>
      <c r="B36" s="19" t="str">
        <f>IF(OR(Assessment!F47="Non-Compliant",Assessment!F47="Partially Compliant"),Assessment!B47,"")</f>
        <v/>
      </c>
      <c r="C36" s="23" t="str">
        <f>IF(OR(Assessment!F47="Non-Compliant",Assessment!F47="Partially Compliant"),Assessment!C47,"")</f>
        <v/>
      </c>
      <c r="D36" s="24" t="str">
        <f>IF(OR(Assessment!F47="Non-Compliant",Assessment!F47="Partially Compliant"),Assessment!D47,"")</f>
        <v/>
      </c>
      <c r="E36" s="25" t="str">
        <f>IF(OR(Assessment!F47="Non-Compliant",Assessment!F47="Partially Compliant"),Assessment!E47,"")</f>
        <v/>
      </c>
      <c r="F36" s="18" t="str">
        <f>IF(OR(Assessment!F47="Non-Compliant",Assessment!F47="Partially Compliant"),Assessment!F47,"")</f>
        <v/>
      </c>
      <c r="G36" s="26"/>
      <c r="H36" s="20"/>
      <c r="I36" s="27"/>
    </row>
    <row r="37" spans="1:9" ht="39.75" customHeight="1" x14ac:dyDescent="0.3">
      <c r="A37" s="22" t="str">
        <f>IF(OR(Assessment!F48="Non-Compliant",Assessment!F48="Partially Compliant"),34,"")</f>
        <v/>
      </c>
      <c r="B37" s="19" t="str">
        <f>IF(OR(Assessment!F48="Non-Compliant",Assessment!F48="Partially Compliant"),Assessment!B48,"")</f>
        <v/>
      </c>
      <c r="C37" s="23" t="str">
        <f>IF(OR(Assessment!F48="Non-Compliant",Assessment!F48="Partially Compliant"),Assessment!C48,"")</f>
        <v/>
      </c>
      <c r="D37" s="24" t="str">
        <f>IF(OR(Assessment!F48="Non-Compliant",Assessment!F48="Partially Compliant"),Assessment!D48,"")</f>
        <v/>
      </c>
      <c r="E37" s="25" t="str">
        <f>IF(OR(Assessment!F48="Non-Compliant",Assessment!F48="Partially Compliant"),Assessment!E48,"")</f>
        <v/>
      </c>
      <c r="F37" s="18" t="str">
        <f>IF(OR(Assessment!F48="Non-Compliant",Assessment!F48="Partially Compliant"),Assessment!F48,"")</f>
        <v/>
      </c>
      <c r="G37" s="26"/>
      <c r="H37" s="20"/>
      <c r="I37" s="27"/>
    </row>
    <row r="38" spans="1:9" ht="39.75" customHeight="1" x14ac:dyDescent="0.3">
      <c r="A38" s="22" t="str">
        <f>IF(OR(Assessment!F49="Non-Compliant",Assessment!F49="Partially Compliant"),35,"")</f>
        <v/>
      </c>
      <c r="B38" s="19" t="str">
        <f>IF(OR(Assessment!F49="Non-Compliant",Assessment!F49="Partially Compliant"),Assessment!B49,"")</f>
        <v/>
      </c>
      <c r="C38" s="23" t="str">
        <f>IF(OR(Assessment!F49="Non-Compliant",Assessment!F49="Partially Compliant"),Assessment!C49,"")</f>
        <v/>
      </c>
      <c r="D38" s="24" t="str">
        <f>IF(OR(Assessment!F49="Non-Compliant",Assessment!F49="Partially Compliant"),Assessment!D49,"")</f>
        <v/>
      </c>
      <c r="E38" s="25" t="str">
        <f>IF(OR(Assessment!F49="Non-Compliant",Assessment!F49="Partially Compliant"),Assessment!E49,"")</f>
        <v/>
      </c>
      <c r="F38" s="18" t="str">
        <f>IF(OR(Assessment!F49="Non-Compliant",Assessment!F49="Partially Compliant"),Assessment!F49,"")</f>
        <v/>
      </c>
      <c r="G38" s="26"/>
      <c r="H38" s="20"/>
      <c r="I38" s="27"/>
    </row>
    <row r="39" spans="1:9" ht="39.75" customHeight="1" x14ac:dyDescent="0.3">
      <c r="A39" s="22" t="str">
        <f>IF(OR(Assessment!F52="Non-Compliant",Assessment!F52="Partially Compliant"),36,"")</f>
        <v/>
      </c>
      <c r="B39" s="19" t="str">
        <f>IF(OR(Assessment!F52="Non-Compliant",Assessment!F52="Partially Compliant"),Assessment!B52,"")</f>
        <v/>
      </c>
      <c r="C39" s="23" t="str">
        <f>IF(OR(Assessment!F52="Non-Compliant",Assessment!F52="Partially Compliant"),Assessment!C52,"")</f>
        <v/>
      </c>
      <c r="D39" s="24" t="str">
        <f>IF(OR(Assessment!F52="Non-Compliant",Assessment!F52="Partially Compliant"),Assessment!D52,"")</f>
        <v/>
      </c>
      <c r="E39" s="25" t="str">
        <f>IF(OR(Assessment!F52="Non-Compliant",Assessment!F52="Partially Compliant"),Assessment!E52,"")</f>
        <v/>
      </c>
      <c r="F39" s="18" t="str">
        <f>IF(OR(Assessment!F52="Non-Compliant",Assessment!F52="Partially Compliant"),Assessment!F52,"")</f>
        <v/>
      </c>
      <c r="G39" s="26"/>
      <c r="H39" s="20"/>
      <c r="I39" s="27"/>
    </row>
    <row r="40" spans="1:9" ht="39.75" customHeight="1" x14ac:dyDescent="0.3">
      <c r="A40" s="22" t="str">
        <f>IF(OR(Assessment!F53="Non-Compliant",Assessment!F53="Partially Compliant"),37,"")</f>
        <v/>
      </c>
      <c r="B40" s="19" t="str">
        <f>IF(OR(Assessment!F53="Non-Compliant",Assessment!F53="Partially Compliant"),Assessment!B53,"")</f>
        <v/>
      </c>
      <c r="C40" s="23" t="str">
        <f>IF(OR(Assessment!F53="Non-Compliant",Assessment!F53="Partially Compliant"),Assessment!C53,"")</f>
        <v/>
      </c>
      <c r="D40" s="24" t="str">
        <f>IF(OR(Assessment!F53="Non-Compliant",Assessment!F53="Partially Compliant"),Assessment!D53,"")</f>
        <v/>
      </c>
      <c r="E40" s="25" t="str">
        <f>IF(OR(Assessment!F53="Non-Compliant",Assessment!F53="Partially Compliant"),Assessment!E53,"")</f>
        <v/>
      </c>
      <c r="F40" s="18" t="str">
        <f>IF(OR(Assessment!F53="Non-Compliant",Assessment!F53="Partially Compliant"),Assessment!F53,"")</f>
        <v/>
      </c>
      <c r="G40" s="26"/>
      <c r="H40" s="20"/>
      <c r="I40" s="27"/>
    </row>
    <row r="41" spans="1:9" ht="39.75" customHeight="1" x14ac:dyDescent="0.3">
      <c r="A41" s="22" t="str">
        <f>IF(OR(Assessment!F54="Non-Compliant",Assessment!F54="Partially Compliant"),38,"")</f>
        <v/>
      </c>
      <c r="B41" s="19" t="str">
        <f>IF(OR(Assessment!F54="Non-Compliant",Assessment!F54="Partially Compliant"),Assessment!B54,"")</f>
        <v/>
      </c>
      <c r="C41" s="23" t="str">
        <f>IF(OR(Assessment!F54="Non-Compliant",Assessment!F54="Partially Compliant"),Assessment!C54,"")</f>
        <v/>
      </c>
      <c r="D41" s="24" t="str">
        <f>IF(OR(Assessment!F54="Non-Compliant",Assessment!F54="Partially Compliant"),Assessment!D54,"")</f>
        <v/>
      </c>
      <c r="E41" s="25" t="str">
        <f>IF(OR(Assessment!F54="Non-Compliant",Assessment!F54="Partially Compliant"),Assessment!E54,"")</f>
        <v/>
      </c>
      <c r="F41" s="18" t="str">
        <f>IF(OR(Assessment!F54="Non-Compliant",Assessment!F54="Partially Compliant"),Assessment!F54,"")</f>
        <v/>
      </c>
      <c r="G41" s="26"/>
      <c r="H41" s="20"/>
      <c r="I41" s="27"/>
    </row>
    <row r="42" spans="1:9" ht="39.75" customHeight="1" x14ac:dyDescent="0.3">
      <c r="A42" s="22" t="str">
        <f>IF(OR(Assessment!F55="Non-Compliant",Assessment!F55="Partially Compliant"),39,"")</f>
        <v/>
      </c>
      <c r="B42" s="19" t="str">
        <f>IF(OR(Assessment!F55="Non-Compliant",Assessment!F55="Partially Compliant"),Assessment!B55,"")</f>
        <v/>
      </c>
      <c r="C42" s="23" t="str">
        <f>IF(OR(Assessment!F55="Non-Compliant",Assessment!F55="Partially Compliant"),Assessment!C55,"")</f>
        <v/>
      </c>
      <c r="D42" s="24" t="str">
        <f>IF(OR(Assessment!F55="Non-Compliant",Assessment!F55="Partially Compliant"),Assessment!D55,"")</f>
        <v/>
      </c>
      <c r="E42" s="25" t="str">
        <f>IF(OR(Assessment!F55="Non-Compliant",Assessment!F55="Partially Compliant"),Assessment!E55,"")</f>
        <v/>
      </c>
      <c r="F42" s="18" t="str">
        <f>IF(OR(Assessment!F55="Non-Compliant",Assessment!F55="Partially Compliant"),Assessment!F55,"")</f>
        <v/>
      </c>
      <c r="G42" s="26"/>
      <c r="H42" s="20"/>
      <c r="I42" s="27"/>
    </row>
    <row r="43" spans="1:9" ht="39.75" customHeight="1" x14ac:dyDescent="0.3">
      <c r="A43" s="22" t="str">
        <f>IF(OR(Assessment!F56="Non-Compliant",Assessment!F56="Partially Compliant"),40,"")</f>
        <v/>
      </c>
      <c r="B43" s="19" t="str">
        <f>IF(OR(Assessment!F56="Non-Compliant",Assessment!F56="Partially Compliant"),Assessment!B56,"")</f>
        <v/>
      </c>
      <c r="C43" s="23" t="str">
        <f>IF(OR(Assessment!F56="Non-Compliant",Assessment!F56="Partially Compliant"),Assessment!C56,"")</f>
        <v/>
      </c>
      <c r="D43" s="24" t="str">
        <f>IF(OR(Assessment!F56="Non-Compliant",Assessment!F56="Partially Compliant"),Assessment!D56,"")</f>
        <v/>
      </c>
      <c r="E43" s="25" t="str">
        <f>IF(OR(Assessment!F56="Non-Compliant",Assessment!F56="Partially Compliant"),Assessment!E56,"")</f>
        <v/>
      </c>
      <c r="F43" s="18" t="str">
        <f>IF(OR(Assessment!F56="Non-Compliant",Assessment!F56="Partially Compliant"),Assessment!F56,"")</f>
        <v/>
      </c>
      <c r="G43" s="26"/>
      <c r="H43" s="20"/>
      <c r="I43" s="27"/>
    </row>
    <row r="44" spans="1:9" ht="39.75" customHeight="1" x14ac:dyDescent="0.3">
      <c r="A44" s="22" t="str">
        <f>IF(OR(Assessment!F57="Non-Compliant",Assessment!F57="Partially Compliant"),41,"")</f>
        <v/>
      </c>
      <c r="B44" s="19" t="str">
        <f>IF(OR(Assessment!F57="Non-Compliant",Assessment!F57="Partially Compliant"),Assessment!B57,"")</f>
        <v/>
      </c>
      <c r="C44" s="23" t="str">
        <f>IF(OR(Assessment!F57="Non-Compliant",Assessment!F57="Partially Compliant"),Assessment!C57,"")</f>
        <v/>
      </c>
      <c r="D44" s="24" t="str">
        <f>IF(OR(Assessment!F57="Non-Compliant",Assessment!F57="Partially Compliant"),Assessment!D57,"")</f>
        <v/>
      </c>
      <c r="E44" s="25" t="str">
        <f>IF(OR(Assessment!F57="Non-Compliant",Assessment!F57="Partially Compliant"),Assessment!E57,"")</f>
        <v/>
      </c>
      <c r="F44" s="18" t="str">
        <f>IF(OR(Assessment!F57="Non-Compliant",Assessment!F57="Partially Compliant"),Assessment!F57,"")</f>
        <v/>
      </c>
      <c r="G44" s="26"/>
      <c r="H44" s="20"/>
      <c r="I44" s="27"/>
    </row>
    <row r="45" spans="1:9" ht="39.75" customHeight="1" x14ac:dyDescent="0.3">
      <c r="A45" s="22" t="str">
        <f>IF(OR(Assessment!F59="Non-Compliant",Assessment!F59="Partially Compliant"),42,"")</f>
        <v/>
      </c>
      <c r="B45" s="19" t="str">
        <f>IF(OR(Assessment!F59="Non-Compliant",Assessment!F59="Partially Compliant"),Assessment!B59,"")</f>
        <v/>
      </c>
      <c r="C45" s="23" t="str">
        <f>IF(OR(Assessment!F59="Non-Compliant",Assessment!F59="Partially Compliant"),Assessment!C59,"")</f>
        <v/>
      </c>
      <c r="D45" s="24" t="str">
        <f>IF(OR(Assessment!F59="Non-Compliant",Assessment!F59="Partially Compliant"),Assessment!D59,"")</f>
        <v/>
      </c>
      <c r="E45" s="25" t="str">
        <f>IF(OR(Assessment!F59="Non-Compliant",Assessment!F59="Partially Compliant"),Assessment!E59,"")</f>
        <v/>
      </c>
      <c r="F45" s="18" t="str">
        <f>IF(OR(Assessment!F59="Non-Compliant",Assessment!F59="Partially Compliant"),Assessment!F59,"")</f>
        <v/>
      </c>
      <c r="G45" s="26"/>
      <c r="H45" s="20"/>
      <c r="I45" s="27"/>
    </row>
    <row r="46" spans="1:9" ht="39.75" customHeight="1" x14ac:dyDescent="0.3">
      <c r="A46" s="22" t="str">
        <f>IF(OR(Assessment!F60="Non-Compliant",Assessment!F60="Partially Compliant"),43,"")</f>
        <v/>
      </c>
      <c r="B46" s="19" t="str">
        <f>IF(OR(Assessment!F60="Non-Compliant",Assessment!F60="Partially Compliant"),Assessment!B60,"")</f>
        <v/>
      </c>
      <c r="C46" s="23" t="str">
        <f>IF(OR(Assessment!F60="Non-Compliant",Assessment!F60="Partially Compliant"),Assessment!C60,"")</f>
        <v/>
      </c>
      <c r="D46" s="24" t="str">
        <f>IF(OR(Assessment!F60="Non-Compliant",Assessment!F60="Partially Compliant"),Assessment!D60,"")</f>
        <v/>
      </c>
      <c r="E46" s="25" t="str">
        <f>IF(OR(Assessment!F60="Non-Compliant",Assessment!F60="Partially Compliant"),Assessment!E60,"")</f>
        <v/>
      </c>
      <c r="F46" s="18" t="str">
        <f>IF(OR(Assessment!F60="Non-Compliant",Assessment!F60="Partially Compliant"),Assessment!F60,"")</f>
        <v/>
      </c>
      <c r="G46" s="26"/>
      <c r="H46" s="20"/>
      <c r="I46" s="27"/>
    </row>
    <row r="47" spans="1:9" ht="39.75" customHeight="1" x14ac:dyDescent="0.3">
      <c r="A47" s="22" t="str">
        <f>IF(OR(Assessment!F61="Non-Compliant",Assessment!F61="Partially Compliant"),44,"")</f>
        <v/>
      </c>
      <c r="B47" s="19" t="str">
        <f>IF(OR(Assessment!F61="Non-Compliant",Assessment!F61="Partially Compliant"),Assessment!B61,"")</f>
        <v/>
      </c>
      <c r="C47" s="23" t="str">
        <f>IF(OR(Assessment!F61="Non-Compliant",Assessment!F61="Partially Compliant"),Assessment!C61,"")</f>
        <v/>
      </c>
      <c r="D47" s="24" t="str">
        <f>IF(OR(Assessment!F61="Non-Compliant",Assessment!F61="Partially Compliant"),Assessment!D61,"")</f>
        <v/>
      </c>
      <c r="E47" s="25" t="str">
        <f>IF(OR(Assessment!F61="Non-Compliant",Assessment!F61="Partially Compliant"),Assessment!E61,"")</f>
        <v/>
      </c>
      <c r="F47" s="18" t="str">
        <f>IF(OR(Assessment!F61="Non-Compliant",Assessment!F61="Partially Compliant"),Assessment!F61,"")</f>
        <v/>
      </c>
      <c r="G47" s="26"/>
      <c r="H47" s="20"/>
      <c r="I47" s="27"/>
    </row>
    <row r="48" spans="1:9" ht="39.75" customHeight="1" x14ac:dyDescent="0.3">
      <c r="A48" s="22" t="str">
        <f>IF(OR(Assessment!F62="Non-Compliant",Assessment!F62="Partially Compliant"),45,"")</f>
        <v/>
      </c>
      <c r="B48" s="19" t="str">
        <f>IF(OR(Assessment!F62="Non-Compliant",Assessment!F62="Partially Compliant"),Assessment!B62,"")</f>
        <v/>
      </c>
      <c r="C48" s="23" t="str">
        <f>IF(OR(Assessment!F62="Non-Compliant",Assessment!F62="Partially Compliant"),Assessment!C62,"")</f>
        <v/>
      </c>
      <c r="D48" s="24" t="str">
        <f>IF(OR(Assessment!F62="Non-Compliant",Assessment!F62="Partially Compliant"),Assessment!D62,"")</f>
        <v/>
      </c>
      <c r="E48" s="25" t="str">
        <f>IF(OR(Assessment!F62="Non-Compliant",Assessment!F62="Partially Compliant"),Assessment!E62,"")</f>
        <v/>
      </c>
      <c r="F48" s="18" t="str">
        <f>IF(OR(Assessment!F62="Non-Compliant",Assessment!F62="Partially Compliant"),Assessment!F62,"")</f>
        <v/>
      </c>
      <c r="G48" s="26"/>
      <c r="H48" s="20"/>
      <c r="I48" s="27"/>
    </row>
    <row r="49" spans="1:9" ht="39.75" customHeight="1" x14ac:dyDescent="0.3">
      <c r="A49" s="22" t="str">
        <f>IF(OR(Assessment!F64="Non-Compliant",Assessment!F64="Partially Compliant"),46,"")</f>
        <v/>
      </c>
      <c r="B49" s="19" t="str">
        <f>IF(OR(Assessment!F64="Non-Compliant",Assessment!F64="Partially Compliant"),Assessment!B64,"")</f>
        <v/>
      </c>
      <c r="C49" s="23" t="str">
        <f>IF(OR(Assessment!F64="Non-Compliant",Assessment!F64="Partially Compliant"),Assessment!C64,"")</f>
        <v/>
      </c>
      <c r="D49" s="24" t="str">
        <f>IF(OR(Assessment!F64="Non-Compliant",Assessment!F64="Partially Compliant"),Assessment!D64,"")</f>
        <v/>
      </c>
      <c r="E49" s="25" t="str">
        <f>IF(OR(Assessment!F64="Non-Compliant",Assessment!F64="Partially Compliant"),Assessment!E64,"")</f>
        <v/>
      </c>
      <c r="F49" s="18" t="str">
        <f>IF(OR(Assessment!F64="Non-Compliant",Assessment!F64="Partially Compliant"),Assessment!F64,"")</f>
        <v/>
      </c>
      <c r="G49" s="26"/>
      <c r="H49" s="20"/>
      <c r="I49" s="27"/>
    </row>
    <row r="50" spans="1:9" ht="39.75" customHeight="1" x14ac:dyDescent="0.3">
      <c r="A50" s="22" t="str">
        <f>IF(OR(Assessment!F65="Non-Compliant",Assessment!F65="Partially Compliant"),47,"")</f>
        <v/>
      </c>
      <c r="B50" s="19" t="str">
        <f>IF(OR(Assessment!F65="Non-Compliant",Assessment!F65="Partially Compliant"),Assessment!B65,"")</f>
        <v/>
      </c>
      <c r="C50" s="23" t="str">
        <f>IF(OR(Assessment!F65="Non-Compliant",Assessment!F65="Partially Compliant"),Assessment!C65,"")</f>
        <v/>
      </c>
      <c r="D50" s="24" t="str">
        <f>IF(OR(Assessment!F65="Non-Compliant",Assessment!F65="Partially Compliant"),Assessment!D65,"")</f>
        <v/>
      </c>
      <c r="E50" s="25" t="str">
        <f>IF(OR(Assessment!F65="Non-Compliant",Assessment!F65="Partially Compliant"),Assessment!E65,"")</f>
        <v/>
      </c>
      <c r="F50" s="18" t="str">
        <f>IF(OR(Assessment!F65="Non-Compliant",Assessment!F65="Partially Compliant"),Assessment!F65,"")</f>
        <v/>
      </c>
      <c r="G50" s="26"/>
      <c r="H50" s="20"/>
      <c r="I50" s="27"/>
    </row>
    <row r="51" spans="1:9" ht="39.75" customHeight="1" x14ac:dyDescent="0.3">
      <c r="A51" s="22" t="str">
        <f>IF(OR(Assessment!F66="Non-Compliant",Assessment!F66="Partially Compliant"),48,"")</f>
        <v/>
      </c>
      <c r="B51" s="19" t="str">
        <f>IF(OR(Assessment!F66="Non-Compliant",Assessment!F66="Partially Compliant"),Assessment!B66,"")</f>
        <v/>
      </c>
      <c r="C51" s="23" t="str">
        <f>IF(OR(Assessment!F66="Non-Compliant",Assessment!F66="Partially Compliant"),Assessment!C66,"")</f>
        <v/>
      </c>
      <c r="D51" s="24" t="str">
        <f>IF(OR(Assessment!F66="Non-Compliant",Assessment!F66="Partially Compliant"),Assessment!D66,"")</f>
        <v/>
      </c>
      <c r="E51" s="25" t="str">
        <f>IF(OR(Assessment!F66="Non-Compliant",Assessment!F66="Partially Compliant"),Assessment!E66,"")</f>
        <v/>
      </c>
      <c r="F51" s="18" t="str">
        <f>IF(OR(Assessment!F66="Non-Compliant",Assessment!F66="Partially Compliant"),Assessment!F66,"")</f>
        <v/>
      </c>
      <c r="G51" s="26"/>
      <c r="H51" s="20"/>
      <c r="I51" s="27"/>
    </row>
    <row r="52" spans="1:9" ht="39.75" customHeight="1" x14ac:dyDescent="0.3">
      <c r="A52" s="22" t="str">
        <f>IF(OR(Assessment!F67="Non-Compliant",Assessment!F67="Partially Compliant"),49,"")</f>
        <v/>
      </c>
      <c r="B52" s="19" t="str">
        <f>IF(OR(Assessment!F67="Non-Compliant",Assessment!F67="Partially Compliant"),Assessment!B67,"")</f>
        <v/>
      </c>
      <c r="C52" s="23" t="str">
        <f>IF(OR(Assessment!F67="Non-Compliant",Assessment!F67="Partially Compliant"),Assessment!C67,"")</f>
        <v/>
      </c>
      <c r="D52" s="24" t="str">
        <f>IF(OR(Assessment!F67="Non-Compliant",Assessment!F67="Partially Compliant"),Assessment!D67,"")</f>
        <v/>
      </c>
      <c r="E52" s="25" t="str">
        <f>IF(OR(Assessment!F67="Non-Compliant",Assessment!F67="Partially Compliant"),Assessment!E67,"")</f>
        <v/>
      </c>
      <c r="F52" s="18" t="str">
        <f>IF(OR(Assessment!F67="Non-Compliant",Assessment!F67="Partially Compliant"),Assessment!F67,"")</f>
        <v/>
      </c>
      <c r="G52" s="26"/>
      <c r="H52" s="20"/>
      <c r="I52" s="27"/>
    </row>
    <row r="53" spans="1:9" ht="39.75" customHeight="1" x14ac:dyDescent="0.3">
      <c r="A53" s="22" t="str">
        <f>IF(OR(Assessment!F69="Non-Compliant",Assessment!F69="Partially Compliant"),50,"")</f>
        <v/>
      </c>
      <c r="B53" s="19" t="str">
        <f>IF(OR(Assessment!F69="Non-Compliant",Assessment!F69="Partially Compliant"),Assessment!B69,"")</f>
        <v/>
      </c>
      <c r="C53" s="23" t="str">
        <f>IF(OR(Assessment!F69="Non-Compliant",Assessment!F69="Partially Compliant"),Assessment!C69,"")</f>
        <v/>
      </c>
      <c r="D53" s="24" t="str">
        <f>IF(OR(Assessment!F69="Non-Compliant",Assessment!F69="Partially Compliant"),Assessment!D69,"")</f>
        <v/>
      </c>
      <c r="E53" s="25" t="str">
        <f>IF(OR(Assessment!F69="Non-Compliant",Assessment!F69="Partially Compliant"),Assessment!E69,"")</f>
        <v/>
      </c>
      <c r="F53" s="18" t="str">
        <f>IF(OR(Assessment!F69="Non-Compliant",Assessment!F69="Partially Compliant"),Assessment!F69,"")</f>
        <v/>
      </c>
      <c r="G53" s="26"/>
      <c r="H53" s="20"/>
      <c r="I53" s="27"/>
    </row>
    <row r="54" spans="1:9" ht="39.75" customHeight="1" x14ac:dyDescent="0.3">
      <c r="A54" s="22" t="str">
        <f>IF(OR(Assessment!F70="Non-Compliant",Assessment!F70="Partially Compliant"),51,"")</f>
        <v/>
      </c>
      <c r="B54" s="19" t="str">
        <f>IF(OR(Assessment!F70="Non-Compliant",Assessment!F70="Partially Compliant"),Assessment!B70,"")</f>
        <v/>
      </c>
      <c r="C54" s="23" t="str">
        <f>IF(OR(Assessment!F70="Non-Compliant",Assessment!F70="Partially Compliant"),Assessment!C70,"")</f>
        <v/>
      </c>
      <c r="D54" s="24" t="str">
        <f>IF(OR(Assessment!F70="Non-Compliant",Assessment!F70="Partially Compliant"),Assessment!D70,"")</f>
        <v/>
      </c>
      <c r="E54" s="25" t="str">
        <f>IF(OR(Assessment!F70="Non-Compliant",Assessment!F70="Partially Compliant"),Assessment!E70,"")</f>
        <v/>
      </c>
      <c r="F54" s="18" t="str">
        <f>IF(OR(Assessment!F70="Non-Compliant",Assessment!F70="Partially Compliant"),Assessment!F70,"")</f>
        <v/>
      </c>
      <c r="G54" s="26"/>
      <c r="H54" s="20"/>
      <c r="I54" s="27"/>
    </row>
    <row r="55" spans="1:9" ht="39.75" customHeight="1" x14ac:dyDescent="0.3">
      <c r="A55" s="22" t="str">
        <f>IF(OR(Assessment!F71="Non-Compliant",Assessment!F71="Partially Compliant"),52,"")</f>
        <v/>
      </c>
      <c r="B55" s="19" t="str">
        <f>IF(OR(Assessment!F71="Non-Compliant",Assessment!F71="Partially Compliant"),Assessment!B71,"")</f>
        <v/>
      </c>
      <c r="C55" s="23" t="str">
        <f>IF(OR(Assessment!F71="Non-Compliant",Assessment!F71="Partially Compliant"),Assessment!C71,"")</f>
        <v/>
      </c>
      <c r="D55" s="24" t="str">
        <f>IF(OR(Assessment!F71="Non-Compliant",Assessment!F71="Partially Compliant"),Assessment!D71,"")</f>
        <v/>
      </c>
      <c r="E55" s="25" t="str">
        <f>IF(OR(Assessment!F71="Non-Compliant",Assessment!F71="Partially Compliant"),Assessment!E71,"")</f>
        <v/>
      </c>
      <c r="F55" s="18" t="str">
        <f>IF(OR(Assessment!F71="Non-Compliant",Assessment!F71="Partially Compliant"),Assessment!F71,"")</f>
        <v/>
      </c>
      <c r="G55" s="26"/>
      <c r="H55" s="20"/>
      <c r="I55" s="27"/>
    </row>
    <row r="56" spans="1:9" ht="39.75" customHeight="1" x14ac:dyDescent="0.3">
      <c r="A56" s="22" t="str">
        <f>IF(OR(Assessment!F72="Non-Compliant",Assessment!F72="Partially Compliant"),53,"")</f>
        <v/>
      </c>
      <c r="B56" s="19" t="str">
        <f>IF(OR(Assessment!F72="Non-Compliant",Assessment!F72="Partially Compliant"),Assessment!B72,"")</f>
        <v/>
      </c>
      <c r="C56" s="23" t="str">
        <f>IF(OR(Assessment!F72="Non-Compliant",Assessment!F72="Partially Compliant"),Assessment!C72,"")</f>
        <v/>
      </c>
      <c r="D56" s="24" t="str">
        <f>IF(OR(Assessment!F72="Non-Compliant",Assessment!F72="Partially Compliant"),Assessment!D72,"")</f>
        <v/>
      </c>
      <c r="E56" s="25" t="str">
        <f>IF(OR(Assessment!F72="Non-Compliant",Assessment!F72="Partially Compliant"),Assessment!E72,"")</f>
        <v/>
      </c>
      <c r="F56" s="18" t="str">
        <f>IF(OR(Assessment!F72="Non-Compliant",Assessment!F72="Partially Compliant"),Assessment!F72,"")</f>
        <v/>
      </c>
      <c r="G56" s="26"/>
      <c r="H56" s="20"/>
      <c r="I56" s="27"/>
    </row>
    <row r="57" spans="1:9" ht="39.75" customHeight="1" x14ac:dyDescent="0.3">
      <c r="A57" s="22" t="str">
        <f>IF(OR(Assessment!F74="Non-Compliant",Assessment!F74="Partially Compliant"),54,"")</f>
        <v/>
      </c>
      <c r="B57" s="19" t="str">
        <f>IF(OR(Assessment!F74="Non-Compliant",Assessment!F74="Partially Compliant"),Assessment!B74,"")</f>
        <v/>
      </c>
      <c r="C57" s="23" t="str">
        <f>IF(OR(Assessment!F74="Non-Compliant",Assessment!F74="Partially Compliant"),Assessment!C74,"")</f>
        <v/>
      </c>
      <c r="D57" s="24" t="str">
        <f>IF(OR(Assessment!F74="Non-Compliant",Assessment!F74="Partially Compliant"),Assessment!D74,"")</f>
        <v/>
      </c>
      <c r="E57" s="25" t="str">
        <f>IF(OR(Assessment!F74="Non-Compliant",Assessment!F74="Partially Compliant"),Assessment!E74,"")</f>
        <v/>
      </c>
      <c r="F57" s="18" t="str">
        <f>IF(OR(Assessment!F74="Non-Compliant",Assessment!F74="Partially Compliant"),Assessment!F74,"")</f>
        <v/>
      </c>
      <c r="G57" s="26"/>
      <c r="H57" s="20"/>
      <c r="I57" s="27"/>
    </row>
    <row r="58" spans="1:9" ht="39.75" customHeight="1" x14ac:dyDescent="0.3">
      <c r="A58" s="22" t="str">
        <f>IF(OR(Assessment!F75="Non-Compliant",Assessment!F75="Partially Compliant"),55,"")</f>
        <v/>
      </c>
      <c r="B58" s="19" t="str">
        <f>IF(OR(Assessment!F75="Non-Compliant",Assessment!F75="Partially Compliant"),Assessment!B75,"")</f>
        <v/>
      </c>
      <c r="C58" s="23" t="str">
        <f>IF(OR(Assessment!F75="Non-Compliant",Assessment!F75="Partially Compliant"),Assessment!C75,"")</f>
        <v/>
      </c>
      <c r="D58" s="24" t="str">
        <f>IF(OR(Assessment!F75="Non-Compliant",Assessment!F75="Partially Compliant"),Assessment!D75,"")</f>
        <v/>
      </c>
      <c r="E58" s="25" t="str">
        <f>IF(OR(Assessment!F75="Non-Compliant",Assessment!F75="Partially Compliant"),Assessment!E75,"")</f>
        <v/>
      </c>
      <c r="F58" s="18" t="str">
        <f>IF(OR(Assessment!F75="Non-Compliant",Assessment!F75="Partially Compliant"),Assessment!F75,"")</f>
        <v/>
      </c>
      <c r="G58" s="26"/>
      <c r="H58" s="20"/>
      <c r="I58" s="27"/>
    </row>
    <row r="59" spans="1:9" ht="39.75" customHeight="1" x14ac:dyDescent="0.3">
      <c r="A59" s="22" t="str">
        <f>IF(OR(Assessment!F76="Non-Compliant",Assessment!F76="Partially Compliant"),56,"")</f>
        <v/>
      </c>
      <c r="B59" s="19" t="str">
        <f>IF(OR(Assessment!F76="Non-Compliant",Assessment!F76="Partially Compliant"),Assessment!B76,"")</f>
        <v/>
      </c>
      <c r="C59" s="23" t="str">
        <f>IF(OR(Assessment!F76="Non-Compliant",Assessment!F76="Partially Compliant"),Assessment!C76,"")</f>
        <v/>
      </c>
      <c r="D59" s="24" t="str">
        <f>IF(OR(Assessment!F76="Non-Compliant",Assessment!F76="Partially Compliant"),Assessment!D76,"")</f>
        <v/>
      </c>
      <c r="E59" s="25" t="str">
        <f>IF(OR(Assessment!F76="Non-Compliant",Assessment!F76="Partially Compliant"),Assessment!E76,"")</f>
        <v/>
      </c>
      <c r="F59" s="18" t="str">
        <f>IF(OR(Assessment!F76="Non-Compliant",Assessment!F76="Partially Compliant"),Assessment!F76,"")</f>
        <v/>
      </c>
      <c r="G59" s="26"/>
      <c r="H59" s="20"/>
      <c r="I59" s="27"/>
    </row>
    <row r="60" spans="1:9" ht="39.75" customHeight="1" x14ac:dyDescent="0.3">
      <c r="A60" s="22" t="str">
        <f>IF(OR(Assessment!F77="Non-Compliant",Assessment!F77="Partially Compliant"),57,"")</f>
        <v/>
      </c>
      <c r="B60" s="19" t="str">
        <f>IF(OR(Assessment!F77="Non-Compliant",Assessment!F77="Partially Compliant"),Assessment!B77,"")</f>
        <v/>
      </c>
      <c r="C60" s="23" t="str">
        <f>IF(OR(Assessment!F77="Non-Compliant",Assessment!F77="Partially Compliant"),Assessment!C77,"")</f>
        <v/>
      </c>
      <c r="D60" s="24" t="str">
        <f>IF(OR(Assessment!F77="Non-Compliant",Assessment!F77="Partially Compliant"),Assessment!D77,"")</f>
        <v/>
      </c>
      <c r="E60" s="25" t="str">
        <f>IF(OR(Assessment!F77="Non-Compliant",Assessment!F77="Partially Compliant"),Assessment!E77,"")</f>
        <v/>
      </c>
      <c r="F60" s="18" t="str">
        <f>IF(OR(Assessment!F77="Non-Compliant",Assessment!F77="Partially Compliant"),Assessment!F77,"")</f>
        <v/>
      </c>
      <c r="G60" s="26"/>
      <c r="H60" s="20"/>
      <c r="I60" s="27"/>
    </row>
    <row r="61" spans="1:9" ht="39.75" customHeight="1" x14ac:dyDescent="0.3">
      <c r="A61" s="22" t="str">
        <f>IF(OR(Assessment!F79="Non-Compliant",Assessment!F79="Partially Compliant"),58,"")</f>
        <v/>
      </c>
      <c r="B61" s="19" t="str">
        <f>IF(OR(Assessment!F79="Non-Compliant",Assessment!F79="Partially Compliant"),Assessment!B79,"")</f>
        <v/>
      </c>
      <c r="C61" s="23" t="str">
        <f>IF(OR(Assessment!F79="Non-Compliant",Assessment!F79="Partially Compliant"),Assessment!C79,"")</f>
        <v/>
      </c>
      <c r="D61" s="24" t="str">
        <f>IF(OR(Assessment!F79="Non-Compliant",Assessment!F79="Partially Compliant"),Assessment!D79,"")</f>
        <v/>
      </c>
      <c r="E61" s="25" t="str">
        <f>IF(OR(Assessment!F79="Non-Compliant",Assessment!F79="Partially Compliant"),Assessment!E79,"")</f>
        <v/>
      </c>
      <c r="F61" s="18" t="str">
        <f>IF(OR(Assessment!F79="Non-Compliant",Assessment!F79="Partially Compliant"),Assessment!F79,"")</f>
        <v/>
      </c>
      <c r="G61" s="26"/>
      <c r="H61" s="20"/>
      <c r="I61" s="27"/>
    </row>
    <row r="62" spans="1:9" ht="39.75" customHeight="1" x14ac:dyDescent="0.3">
      <c r="A62" s="22" t="str">
        <f>IF(OR(Assessment!F80="Non-Compliant",Assessment!F80="Partially Compliant"),59,"")</f>
        <v/>
      </c>
      <c r="B62" s="19" t="str">
        <f>IF(OR(Assessment!F80="Non-Compliant",Assessment!F80="Partially Compliant"),Assessment!B80,"")</f>
        <v/>
      </c>
      <c r="C62" s="23" t="str">
        <f>IF(OR(Assessment!F80="Non-Compliant",Assessment!F80="Partially Compliant"),Assessment!C80,"")</f>
        <v/>
      </c>
      <c r="D62" s="24" t="str">
        <f>IF(OR(Assessment!F80="Non-Compliant",Assessment!F80="Partially Compliant"),Assessment!D80,"")</f>
        <v/>
      </c>
      <c r="E62" s="25" t="str">
        <f>IF(OR(Assessment!F80="Non-Compliant",Assessment!F80="Partially Compliant"),Assessment!E80,"")</f>
        <v/>
      </c>
      <c r="F62" s="18" t="str">
        <f>IF(OR(Assessment!F80="Non-Compliant",Assessment!F80="Partially Compliant"),Assessment!F80,"")</f>
        <v/>
      </c>
      <c r="G62" s="26"/>
      <c r="H62" s="20"/>
      <c r="I62" s="27"/>
    </row>
    <row r="63" spans="1:9" ht="39.75" customHeight="1" x14ac:dyDescent="0.3">
      <c r="A63" s="22" t="str">
        <f>IF(OR(Assessment!F81="Non-Compliant",Assessment!F81="Partially Compliant"),60,"")</f>
        <v/>
      </c>
      <c r="B63" s="19" t="str">
        <f>IF(OR(Assessment!F81="Non-Compliant",Assessment!F81="Partially Compliant"),Assessment!B81,"")</f>
        <v/>
      </c>
      <c r="C63" s="23" t="str">
        <f>IF(OR(Assessment!F81="Non-Compliant",Assessment!F81="Partially Compliant"),Assessment!C81,"")</f>
        <v/>
      </c>
      <c r="D63" s="24" t="str">
        <f>IF(OR(Assessment!F81="Non-Compliant",Assessment!F81="Partially Compliant"),Assessment!D81,"")</f>
        <v/>
      </c>
      <c r="E63" s="25" t="str">
        <f>IF(OR(Assessment!F81="Non-Compliant",Assessment!F81="Partially Compliant"),Assessment!E81,"")</f>
        <v/>
      </c>
      <c r="F63" s="18" t="str">
        <f>IF(OR(Assessment!F81="Non-Compliant",Assessment!F81="Partially Compliant"),Assessment!F81,"")</f>
        <v/>
      </c>
      <c r="G63" s="26"/>
      <c r="H63" s="20"/>
      <c r="I63" s="27"/>
    </row>
    <row r="64" spans="1:9" ht="39.75" customHeight="1" x14ac:dyDescent="0.3">
      <c r="A64" s="22" t="str">
        <f>IF(OR(Assessment!F82="Non-Compliant",Assessment!F82="Partially Compliant"),61,"")</f>
        <v/>
      </c>
      <c r="B64" s="19" t="str">
        <f>IF(OR(Assessment!F82="Non-Compliant",Assessment!F82="Partially Compliant"),Assessment!B82,"")</f>
        <v/>
      </c>
      <c r="C64" s="23" t="str">
        <f>IF(OR(Assessment!F82="Non-Compliant",Assessment!F82="Partially Compliant"),Assessment!C82,"")</f>
        <v/>
      </c>
      <c r="D64" s="24" t="str">
        <f>IF(OR(Assessment!F82="Non-Compliant",Assessment!F82="Partially Compliant"),Assessment!D82,"")</f>
        <v/>
      </c>
      <c r="E64" s="25" t="str">
        <f>IF(OR(Assessment!F82="Non-Compliant",Assessment!F82="Partially Compliant"),Assessment!E82,"")</f>
        <v/>
      </c>
      <c r="F64" s="18" t="str">
        <f>IF(OR(Assessment!F82="Non-Compliant",Assessment!F82="Partially Compliant"),Assessment!F82,"")</f>
        <v/>
      </c>
      <c r="G64" s="26"/>
      <c r="H64" s="20"/>
      <c r="I64" s="27"/>
    </row>
    <row r="65" spans="1:9" ht="39.75" customHeight="1" x14ac:dyDescent="0.3">
      <c r="A65" s="22" t="str">
        <f>IF(OR(Assessment!F84="Non-Compliant",Assessment!F84="Partially Compliant"),62,"")</f>
        <v/>
      </c>
      <c r="B65" s="19" t="str">
        <f>IF(OR(Assessment!F84="Non-Compliant",Assessment!F84="Partially Compliant"),Assessment!B84,"")</f>
        <v/>
      </c>
      <c r="C65" s="23" t="str">
        <f>IF(OR(Assessment!F84="Non-Compliant",Assessment!F84="Partially Compliant"),Assessment!C84,"")</f>
        <v/>
      </c>
      <c r="D65" s="24" t="str">
        <f>IF(OR(Assessment!F84="Non-Compliant",Assessment!F84="Partially Compliant"),Assessment!D84,"")</f>
        <v/>
      </c>
      <c r="E65" s="25" t="str">
        <f>IF(OR(Assessment!F84="Non-Compliant",Assessment!F84="Partially Compliant"),Assessment!E84,"")</f>
        <v/>
      </c>
      <c r="F65" s="18" t="str">
        <f>IF(OR(Assessment!F84="Non-Compliant",Assessment!F84="Partially Compliant"),Assessment!F84,"")</f>
        <v/>
      </c>
      <c r="G65" s="26"/>
      <c r="H65" s="20"/>
      <c r="I65" s="27"/>
    </row>
    <row r="66" spans="1:9" ht="39.75" customHeight="1" x14ac:dyDescent="0.3">
      <c r="A66" s="22" t="str">
        <f>IF(OR(Assessment!F85="Non-Compliant",Assessment!F85="Partially Compliant"),63,"")</f>
        <v/>
      </c>
      <c r="B66" s="19" t="str">
        <f>IF(OR(Assessment!F85="Non-Compliant",Assessment!F85="Partially Compliant"),Assessment!B85,"")</f>
        <v/>
      </c>
      <c r="C66" s="23" t="str">
        <f>IF(OR(Assessment!F85="Non-Compliant",Assessment!F85="Partially Compliant"),Assessment!C85,"")</f>
        <v/>
      </c>
      <c r="D66" s="24" t="str">
        <f>IF(OR(Assessment!F85="Non-Compliant",Assessment!F85="Partially Compliant"),Assessment!D85,"")</f>
        <v/>
      </c>
      <c r="E66" s="25" t="str">
        <f>IF(OR(Assessment!F85="Non-Compliant",Assessment!F85="Partially Compliant"),Assessment!E85,"")</f>
        <v/>
      </c>
      <c r="F66" s="18" t="str">
        <f>IF(OR(Assessment!F85="Non-Compliant",Assessment!F85="Partially Compliant"),Assessment!F85,"")</f>
        <v/>
      </c>
      <c r="G66" s="26"/>
      <c r="H66" s="20"/>
      <c r="I66" s="27"/>
    </row>
    <row r="67" spans="1:9" ht="39.75" customHeight="1" x14ac:dyDescent="0.3">
      <c r="A67" s="22" t="str">
        <f>IF(OR(Assessment!F86="Non-Compliant",Assessment!F86="Partially Compliant"),64,"")</f>
        <v/>
      </c>
      <c r="B67" s="19" t="str">
        <f>IF(OR(Assessment!F86="Non-Compliant",Assessment!F86="Partially Compliant"),Assessment!B86,"")</f>
        <v/>
      </c>
      <c r="C67" s="23" t="str">
        <f>IF(OR(Assessment!F86="Non-Compliant",Assessment!F86="Partially Compliant"),Assessment!C86,"")</f>
        <v/>
      </c>
      <c r="D67" s="24" t="str">
        <f>IF(OR(Assessment!F86="Non-Compliant",Assessment!F86="Partially Compliant"),Assessment!D86,"")</f>
        <v/>
      </c>
      <c r="E67" s="25" t="str">
        <f>IF(OR(Assessment!F86="Non-Compliant",Assessment!F86="Partially Compliant"),Assessment!E86,"")</f>
        <v/>
      </c>
      <c r="F67" s="18" t="str">
        <f>IF(OR(Assessment!F86="Non-Compliant",Assessment!F86="Partially Compliant"),Assessment!F86,"")</f>
        <v/>
      </c>
      <c r="G67" s="26"/>
      <c r="H67" s="20"/>
      <c r="I67" s="27"/>
    </row>
    <row r="68" spans="1:9" ht="39.75" customHeight="1" x14ac:dyDescent="0.3">
      <c r="A68" s="22" t="str">
        <f>IF(OR(Assessment!F88="Non-Compliant",Assessment!F88="Partially Compliant"),65,"")</f>
        <v/>
      </c>
      <c r="B68" s="19" t="str">
        <f>IF(OR(Assessment!F88="Non-Compliant",Assessment!F88="Partially Compliant"),Assessment!B88,"")</f>
        <v/>
      </c>
      <c r="C68" s="23" t="str">
        <f>IF(OR(Assessment!F88="Non-Compliant",Assessment!F88="Partially Compliant"),Assessment!C88,"")</f>
        <v/>
      </c>
      <c r="D68" s="24" t="str">
        <f>IF(OR(Assessment!F88="Non-Compliant",Assessment!F88="Partially Compliant"),Assessment!D88,"")</f>
        <v/>
      </c>
      <c r="E68" s="25" t="str">
        <f>IF(OR(Assessment!F88="Non-Compliant",Assessment!F88="Partially Compliant"),Assessment!E88,"")</f>
        <v/>
      </c>
      <c r="F68" s="18" t="str">
        <f>IF(OR(Assessment!F88="Non-Compliant",Assessment!F88="Partially Compliant"),Assessment!F88,"")</f>
        <v/>
      </c>
      <c r="G68" s="26"/>
      <c r="H68" s="20"/>
      <c r="I68" s="27"/>
    </row>
    <row r="69" spans="1:9" ht="39.75" customHeight="1" x14ac:dyDescent="0.3">
      <c r="A69" s="22" t="str">
        <f>IF(OR(Assessment!F89="Non-Compliant",Assessment!F89="Partially Compliant"),66,"")</f>
        <v/>
      </c>
      <c r="B69" s="19" t="str">
        <f>IF(OR(Assessment!F89="Non-Compliant",Assessment!F89="Partially Compliant"),Assessment!B89,"")</f>
        <v/>
      </c>
      <c r="C69" s="23" t="str">
        <f>IF(OR(Assessment!F89="Non-Compliant",Assessment!F89="Partially Compliant"),Assessment!C89,"")</f>
        <v/>
      </c>
      <c r="D69" s="24" t="str">
        <f>IF(OR(Assessment!F89="Non-Compliant",Assessment!F89="Partially Compliant"),Assessment!D89,"")</f>
        <v/>
      </c>
      <c r="E69" s="25" t="str">
        <f>IF(OR(Assessment!F89="Non-Compliant",Assessment!F89="Partially Compliant"),Assessment!E89,"")</f>
        <v/>
      </c>
      <c r="F69" s="18" t="str">
        <f>IF(OR(Assessment!F89="Non-Compliant",Assessment!F89="Partially Compliant"),Assessment!F89,"")</f>
        <v/>
      </c>
      <c r="G69" s="26"/>
      <c r="H69" s="20"/>
      <c r="I69" s="27"/>
    </row>
    <row r="70" spans="1:9" ht="39.75" customHeight="1" x14ac:dyDescent="0.3">
      <c r="A70" s="22" t="str">
        <f>IF(OR(Assessment!F90="Non-Compliant",Assessment!F90="Partially Compliant"),67,"")</f>
        <v/>
      </c>
      <c r="B70" s="19" t="str">
        <f>IF(OR(Assessment!F90="Non-Compliant",Assessment!F90="Partially Compliant"),Assessment!B90,"")</f>
        <v/>
      </c>
      <c r="C70" s="23" t="str">
        <f>IF(OR(Assessment!F90="Non-Compliant",Assessment!F90="Partially Compliant"),Assessment!C90,"")</f>
        <v/>
      </c>
      <c r="D70" s="24" t="str">
        <f>IF(OR(Assessment!F90="Non-Compliant",Assessment!F90="Partially Compliant"),Assessment!D90,"")</f>
        <v/>
      </c>
      <c r="E70" s="25" t="str">
        <f>IF(OR(Assessment!F90="Non-Compliant",Assessment!F90="Partially Compliant"),Assessment!E90,"")</f>
        <v/>
      </c>
      <c r="F70" s="18" t="str">
        <f>IF(OR(Assessment!F90="Non-Compliant",Assessment!F90="Partially Compliant"),Assessment!F90,"")</f>
        <v/>
      </c>
      <c r="G70" s="26"/>
      <c r="H70" s="20"/>
      <c r="I70" s="27"/>
    </row>
    <row r="71" spans="1:9" ht="39.75" customHeight="1" x14ac:dyDescent="0.3">
      <c r="A71" s="22" t="str">
        <f>IF(OR(Assessment!F91="Non-Compliant",Assessment!F91="Partially Compliant"),68,"")</f>
        <v/>
      </c>
      <c r="B71" s="19" t="str">
        <f>IF(OR(Assessment!F91="Non-Compliant",Assessment!F91="Partially Compliant"),Assessment!B91,"")</f>
        <v/>
      </c>
      <c r="C71" s="23" t="str">
        <f>IF(OR(Assessment!F91="Non-Compliant",Assessment!F91="Partially Compliant"),Assessment!C91,"")</f>
        <v/>
      </c>
      <c r="D71" s="24" t="str">
        <f>IF(OR(Assessment!F91="Non-Compliant",Assessment!F91="Partially Compliant"),Assessment!D91,"")</f>
        <v/>
      </c>
      <c r="E71" s="25" t="str">
        <f>IF(OR(Assessment!F91="Non-Compliant",Assessment!F91="Partially Compliant"),Assessment!E91,"")</f>
        <v/>
      </c>
      <c r="F71" s="18" t="str">
        <f>IF(OR(Assessment!F91="Non-Compliant",Assessment!F91="Partially Compliant"),Assessment!F91,"")</f>
        <v/>
      </c>
      <c r="G71" s="26"/>
      <c r="H71" s="20"/>
      <c r="I71" s="27"/>
    </row>
    <row r="72" spans="1:9" ht="39.75" customHeight="1" x14ac:dyDescent="0.3">
      <c r="A72" s="22" t="str">
        <f>IF(OR(Assessment!F93="Non-Compliant",Assessment!F93="Partially Compliant"),69,"")</f>
        <v/>
      </c>
      <c r="B72" s="19" t="str">
        <f>IF(OR(Assessment!F93="Non-Compliant",Assessment!F93="Partially Compliant"),Assessment!B93,"")</f>
        <v/>
      </c>
      <c r="C72" s="23" t="str">
        <f>IF(OR(Assessment!F93="Non-Compliant",Assessment!F93="Partially Compliant"),Assessment!C93,"")</f>
        <v/>
      </c>
      <c r="D72" s="24" t="str">
        <f>IF(OR(Assessment!F93="Non-Compliant",Assessment!F93="Partially Compliant"),Assessment!D93,"")</f>
        <v/>
      </c>
      <c r="E72" s="25" t="str">
        <f>IF(OR(Assessment!F93="Non-Compliant",Assessment!F93="Partially Compliant"),Assessment!E93,"")</f>
        <v/>
      </c>
      <c r="F72" s="18" t="str">
        <f>IF(OR(Assessment!F93="Non-Compliant",Assessment!F93="Partially Compliant"),Assessment!F93,"")</f>
        <v/>
      </c>
      <c r="G72" s="26"/>
      <c r="H72" s="20"/>
      <c r="I72" s="27"/>
    </row>
    <row r="73" spans="1:9" ht="39.75" customHeight="1" x14ac:dyDescent="0.3">
      <c r="A73" s="22" t="str">
        <f>IF(OR(Assessment!F94="Non-Compliant",Assessment!F94="Partially Compliant"),70,"")</f>
        <v/>
      </c>
      <c r="B73" s="19" t="str">
        <f>IF(OR(Assessment!F94="Non-Compliant",Assessment!F94="Partially Compliant"),Assessment!B94,"")</f>
        <v/>
      </c>
      <c r="C73" s="23" t="str">
        <f>IF(OR(Assessment!F94="Non-Compliant",Assessment!F94="Partially Compliant"),Assessment!C94,"")</f>
        <v/>
      </c>
      <c r="D73" s="24" t="str">
        <f>IF(OR(Assessment!F94="Non-Compliant",Assessment!F94="Partially Compliant"),Assessment!D94,"")</f>
        <v/>
      </c>
      <c r="E73" s="25" t="str">
        <f>IF(OR(Assessment!F94="Non-Compliant",Assessment!F94="Partially Compliant"),Assessment!E94,"")</f>
        <v/>
      </c>
      <c r="F73" s="18" t="str">
        <f>IF(OR(Assessment!F94="Non-Compliant",Assessment!F94="Partially Compliant"),Assessment!F94,"")</f>
        <v/>
      </c>
      <c r="G73" s="26"/>
      <c r="H73" s="20"/>
      <c r="I73" s="27"/>
    </row>
    <row r="74" spans="1:9" ht="39.75" customHeight="1" x14ac:dyDescent="0.3">
      <c r="A74" s="22" t="str">
        <f>IF(OR(Assessment!F95="Non-Compliant",Assessment!F95="Partially Compliant"),71,"")</f>
        <v/>
      </c>
      <c r="B74" s="19" t="str">
        <f>IF(OR(Assessment!F95="Non-Compliant",Assessment!F95="Partially Compliant"),Assessment!B95,"")</f>
        <v/>
      </c>
      <c r="C74" s="23" t="str">
        <f>IF(OR(Assessment!F95="Non-Compliant",Assessment!F95="Partially Compliant"),Assessment!C95,"")</f>
        <v/>
      </c>
      <c r="D74" s="24" t="str">
        <f>IF(OR(Assessment!F95="Non-Compliant",Assessment!F95="Partially Compliant"),Assessment!D95,"")</f>
        <v/>
      </c>
      <c r="E74" s="25" t="str">
        <f>IF(OR(Assessment!F95="Non-Compliant",Assessment!F95="Partially Compliant"),Assessment!E95,"")</f>
        <v/>
      </c>
      <c r="F74" s="18" t="str">
        <f>IF(OR(Assessment!F95="Non-Compliant",Assessment!F95="Partially Compliant"),Assessment!F95,"")</f>
        <v/>
      </c>
      <c r="G74" s="26"/>
      <c r="H74" s="20"/>
      <c r="I74" s="27"/>
    </row>
    <row r="75" spans="1:9" ht="39.75" customHeight="1" x14ac:dyDescent="0.3">
      <c r="A75" s="22" t="str">
        <f>IF(OR(Assessment!F96="Non-Compliant",Assessment!F96="Partially Compliant"),72,"")</f>
        <v/>
      </c>
      <c r="B75" s="19" t="str">
        <f>IF(OR(Assessment!F96="Non-Compliant",Assessment!F96="Partially Compliant"),Assessment!B96,"")</f>
        <v/>
      </c>
      <c r="C75" s="23" t="str">
        <f>IF(OR(Assessment!F96="Non-Compliant",Assessment!F96="Partially Compliant"),Assessment!C96,"")</f>
        <v/>
      </c>
      <c r="D75" s="24" t="str">
        <f>IF(OR(Assessment!F96="Non-Compliant",Assessment!F96="Partially Compliant"),Assessment!D96,"")</f>
        <v/>
      </c>
      <c r="E75" s="25" t="str">
        <f>IF(OR(Assessment!F96="Non-Compliant",Assessment!F96="Partially Compliant"),Assessment!E96,"")</f>
        <v/>
      </c>
      <c r="F75" s="18" t="str">
        <f>IF(OR(Assessment!F96="Non-Compliant",Assessment!F96="Partially Compliant"),Assessment!F96,"")</f>
        <v/>
      </c>
      <c r="G75" s="26"/>
      <c r="H75" s="20"/>
      <c r="I75" s="27"/>
    </row>
    <row r="76" spans="1:9" ht="39.75" customHeight="1" x14ac:dyDescent="0.3">
      <c r="A76" s="22" t="str">
        <f>IF(OR(Assessment!F98="Non-Compliant",Assessment!F98="Partially Compliant"),73,"")</f>
        <v/>
      </c>
      <c r="B76" s="19" t="str">
        <f>IF(OR(Assessment!F98="Non-Compliant",Assessment!F98="Partially Compliant"),Assessment!B98,"")</f>
        <v/>
      </c>
      <c r="C76" s="23" t="str">
        <f>IF(OR(Assessment!F98="Non-Compliant",Assessment!F98="Partially Compliant"),Assessment!C98,"")</f>
        <v/>
      </c>
      <c r="D76" s="24" t="str">
        <f>IF(OR(Assessment!F98="Non-Compliant",Assessment!F98="Partially Compliant"),Assessment!D98,"")</f>
        <v/>
      </c>
      <c r="E76" s="25" t="str">
        <f>IF(OR(Assessment!F98="Non-Compliant",Assessment!F98="Partially Compliant"),Assessment!E98,"")</f>
        <v/>
      </c>
      <c r="F76" s="18" t="str">
        <f>IF(OR(Assessment!F98="Non-Compliant",Assessment!F98="Partially Compliant"),Assessment!F98,"")</f>
        <v/>
      </c>
      <c r="G76" s="26"/>
      <c r="H76" s="20"/>
      <c r="I76" s="27"/>
    </row>
    <row r="77" spans="1:9" ht="39.75" customHeight="1" x14ac:dyDescent="0.3">
      <c r="A77" s="22" t="str">
        <f>IF(OR(Assessment!F99="Non-Compliant",Assessment!F99="Partially Compliant"),74,"")</f>
        <v/>
      </c>
      <c r="B77" s="19" t="str">
        <f>IF(OR(Assessment!F99="Non-Compliant",Assessment!F99="Partially Compliant"),Assessment!B99,"")</f>
        <v/>
      </c>
      <c r="C77" s="23" t="str">
        <f>IF(OR(Assessment!F99="Non-Compliant",Assessment!F99="Partially Compliant"),Assessment!C99,"")</f>
        <v/>
      </c>
      <c r="D77" s="24" t="str">
        <f>IF(OR(Assessment!F99="Non-Compliant",Assessment!F99="Partially Compliant"),Assessment!D99,"")</f>
        <v/>
      </c>
      <c r="E77" s="25" t="str">
        <f>IF(OR(Assessment!F99="Non-Compliant",Assessment!F99="Partially Compliant"),Assessment!E99,"")</f>
        <v/>
      </c>
      <c r="F77" s="18" t="str">
        <f>IF(OR(Assessment!F99="Non-Compliant",Assessment!F99="Partially Compliant"),Assessment!F99,"")</f>
        <v/>
      </c>
      <c r="G77" s="26"/>
      <c r="H77" s="20"/>
      <c r="I77" s="27"/>
    </row>
    <row r="78" spans="1:9" ht="39.75" customHeight="1" x14ac:dyDescent="0.3">
      <c r="A78" s="22" t="str">
        <f>IF(OR(Assessment!F100="Non-Compliant",Assessment!F100="Partially Compliant"),75,"")</f>
        <v/>
      </c>
      <c r="B78" s="19" t="str">
        <f>IF(OR(Assessment!F100="Non-Compliant",Assessment!F100="Partially Compliant"),Assessment!B100,"")</f>
        <v/>
      </c>
      <c r="C78" s="23" t="str">
        <f>IF(OR(Assessment!F100="Non-Compliant",Assessment!F100="Partially Compliant"),Assessment!C100,"")</f>
        <v/>
      </c>
      <c r="D78" s="24" t="str">
        <f>IF(OR(Assessment!F100="Non-Compliant",Assessment!F100="Partially Compliant"),Assessment!D100,"")</f>
        <v/>
      </c>
      <c r="E78" s="25" t="str">
        <f>IF(OR(Assessment!F100="Non-Compliant",Assessment!F100="Partially Compliant"),Assessment!E100,"")</f>
        <v/>
      </c>
      <c r="F78" s="18" t="str">
        <f>IF(OR(Assessment!F100="Non-Compliant",Assessment!F100="Partially Compliant"),Assessment!F100,"")</f>
        <v/>
      </c>
      <c r="G78" s="26"/>
      <c r="H78" s="20"/>
      <c r="I78" s="27"/>
    </row>
    <row r="79" spans="1:9" ht="39.75" customHeight="1" x14ac:dyDescent="0.3">
      <c r="A79" s="22" t="str">
        <f>IF(OR(Assessment!F101="Non-Compliant",Assessment!F101="Partially Compliant"),76,"")</f>
        <v/>
      </c>
      <c r="B79" s="19" t="str">
        <f>IF(OR(Assessment!F101="Non-Compliant",Assessment!F101="Partially Compliant"),Assessment!B101,"")</f>
        <v/>
      </c>
      <c r="C79" s="23" t="str">
        <f>IF(OR(Assessment!F101="Non-Compliant",Assessment!F101="Partially Compliant"),Assessment!C101,"")</f>
        <v/>
      </c>
      <c r="D79" s="24" t="str">
        <f>IF(OR(Assessment!F101="Non-Compliant",Assessment!F101="Partially Compliant"),Assessment!D101,"")</f>
        <v/>
      </c>
      <c r="E79" s="25" t="str">
        <f>IF(OR(Assessment!F101="Non-Compliant",Assessment!F101="Partially Compliant"),Assessment!E101,"")</f>
        <v/>
      </c>
      <c r="F79" s="18" t="str">
        <f>IF(OR(Assessment!F101="Non-Compliant",Assessment!F101="Partially Compliant"),Assessment!F101,"")</f>
        <v/>
      </c>
      <c r="G79" s="26"/>
      <c r="H79" s="20"/>
      <c r="I79" s="27"/>
    </row>
    <row r="80" spans="1:9" ht="39.75" customHeight="1" x14ac:dyDescent="0.3">
      <c r="A80" s="22" t="str">
        <f>IF(OR(Assessment!F103="Non-Compliant",Assessment!F103="Partially Compliant"),77,"")</f>
        <v/>
      </c>
      <c r="B80" s="19" t="str">
        <f>IF(OR(Assessment!F103="Non-Compliant",Assessment!F103="Partially Compliant"),Assessment!B103,"")</f>
        <v/>
      </c>
      <c r="C80" s="23" t="str">
        <f>IF(OR(Assessment!F103="Non-Compliant",Assessment!F103="Partially Compliant"),Assessment!C103,"")</f>
        <v/>
      </c>
      <c r="D80" s="24" t="str">
        <f>IF(OR(Assessment!F103="Non-Compliant",Assessment!F103="Partially Compliant"),Assessment!D103,"")</f>
        <v/>
      </c>
      <c r="E80" s="25" t="str">
        <f>IF(OR(Assessment!F103="Non-Compliant",Assessment!F103="Partially Compliant"),Assessment!E103,"")</f>
        <v/>
      </c>
      <c r="F80" s="18" t="str">
        <f>IF(OR(Assessment!F103="Non-Compliant",Assessment!F103="Partially Compliant"),Assessment!F103,"")</f>
        <v/>
      </c>
      <c r="G80" s="26"/>
      <c r="H80" s="20"/>
      <c r="I80" s="27"/>
    </row>
    <row r="81" spans="1:9" ht="39.75" customHeight="1" x14ac:dyDescent="0.3">
      <c r="A81" s="22" t="str">
        <f>IF(OR(Assessment!F104="Non-Compliant",Assessment!F104="Partially Compliant"),78,"")</f>
        <v/>
      </c>
      <c r="B81" s="19" t="str">
        <f>IF(OR(Assessment!F104="Non-Compliant",Assessment!F104="Partially Compliant"),Assessment!B104,"")</f>
        <v/>
      </c>
      <c r="C81" s="23" t="str">
        <f>IF(OR(Assessment!F104="Non-Compliant",Assessment!F104="Partially Compliant"),Assessment!C104,"")</f>
        <v/>
      </c>
      <c r="D81" s="24" t="str">
        <f>IF(OR(Assessment!F104="Non-Compliant",Assessment!F104="Partially Compliant"),Assessment!D104,"")</f>
        <v/>
      </c>
      <c r="E81" s="25" t="str">
        <f>IF(OR(Assessment!F104="Non-Compliant",Assessment!F104="Partially Compliant"),Assessment!E104,"")</f>
        <v/>
      </c>
      <c r="F81" s="18" t="str">
        <f>IF(OR(Assessment!F104="Non-Compliant",Assessment!F104="Partially Compliant"),Assessment!F104,"")</f>
        <v/>
      </c>
      <c r="G81" s="26"/>
      <c r="H81" s="20"/>
      <c r="I81" s="27"/>
    </row>
    <row r="82" spans="1:9" ht="39.75" customHeight="1" x14ac:dyDescent="0.3">
      <c r="A82" s="22" t="str">
        <f>IF(OR(Assessment!F105="Non-Compliant",Assessment!F105="Partially Compliant"),79,"")</f>
        <v/>
      </c>
      <c r="B82" s="19" t="str">
        <f>IF(OR(Assessment!F105="Non-Compliant",Assessment!F105="Partially Compliant"),Assessment!B105,"")</f>
        <v/>
      </c>
      <c r="C82" s="23" t="str">
        <f>IF(OR(Assessment!F105="Non-Compliant",Assessment!F105="Partially Compliant"),Assessment!C105,"")</f>
        <v/>
      </c>
      <c r="D82" s="24" t="str">
        <f>IF(OR(Assessment!F105="Non-Compliant",Assessment!F105="Partially Compliant"),Assessment!D105,"")</f>
        <v/>
      </c>
      <c r="E82" s="25" t="str">
        <f>IF(OR(Assessment!F105="Non-Compliant",Assessment!F105="Partially Compliant"),Assessment!E105,"")</f>
        <v/>
      </c>
      <c r="F82" s="18" t="str">
        <f>IF(OR(Assessment!F105="Non-Compliant",Assessment!F105="Partially Compliant"),Assessment!F105,"")</f>
        <v/>
      </c>
      <c r="G82" s="26"/>
      <c r="H82" s="20"/>
      <c r="I82" s="27"/>
    </row>
    <row r="83" spans="1:9" ht="39.75" customHeight="1" x14ac:dyDescent="0.3">
      <c r="A83" s="22" t="str">
        <f>IF(OR(Assessment!F106="Non-Compliant",Assessment!F106="Partially Compliant"),80,"")</f>
        <v/>
      </c>
      <c r="B83" s="19" t="str">
        <f>IF(OR(Assessment!F106="Non-Compliant",Assessment!F106="Partially Compliant"),Assessment!B106,"")</f>
        <v/>
      </c>
      <c r="C83" s="23" t="str">
        <f>IF(OR(Assessment!F106="Non-Compliant",Assessment!F106="Partially Compliant"),Assessment!C106,"")</f>
        <v/>
      </c>
      <c r="D83" s="24" t="str">
        <f>IF(OR(Assessment!F106="Non-Compliant",Assessment!F106="Partially Compliant"),Assessment!D106,"")</f>
        <v/>
      </c>
      <c r="E83" s="25" t="str">
        <f>IF(OR(Assessment!F106="Non-Compliant",Assessment!F106="Partially Compliant"),Assessment!E106,"")</f>
        <v/>
      </c>
      <c r="F83" s="18" t="str">
        <f>IF(OR(Assessment!F106="Non-Compliant",Assessment!F106="Partially Compliant"),Assessment!F106,"")</f>
        <v/>
      </c>
      <c r="G83" s="26"/>
      <c r="H83" s="20"/>
      <c r="I83" s="27"/>
    </row>
    <row r="84" spans="1:9" ht="39.75" customHeight="1" x14ac:dyDescent="0.3">
      <c r="A84" s="22" t="str">
        <f>IF(OR(Assessment!F108="Non-Compliant",Assessment!F108="Partially Compliant"),81,"")</f>
        <v/>
      </c>
      <c r="B84" s="19" t="str">
        <f>IF(OR(Assessment!F108="Non-Compliant",Assessment!F108="Partially Compliant"),Assessment!B108,"")</f>
        <v/>
      </c>
      <c r="C84" s="23" t="str">
        <f>IF(OR(Assessment!F108="Non-Compliant",Assessment!F108="Partially Compliant"),Assessment!C108,"")</f>
        <v/>
      </c>
      <c r="D84" s="24" t="str">
        <f>IF(OR(Assessment!F108="Non-Compliant",Assessment!F108="Partially Compliant"),Assessment!D108,"")</f>
        <v/>
      </c>
      <c r="E84" s="25" t="str">
        <f>IF(OR(Assessment!F108="Non-Compliant",Assessment!F108="Partially Compliant"),Assessment!E108,"")</f>
        <v/>
      </c>
      <c r="F84" s="18" t="str">
        <f>IF(OR(Assessment!F108="Non-Compliant",Assessment!F108="Partially Compliant"),Assessment!F108,"")</f>
        <v/>
      </c>
      <c r="G84" s="26"/>
      <c r="H84" s="20"/>
      <c r="I84" s="27"/>
    </row>
    <row r="85" spans="1:9" ht="39.75" customHeight="1" x14ac:dyDescent="0.3">
      <c r="A85" s="22" t="str">
        <f>IF(OR(Assessment!F109="Non-Compliant",Assessment!F109="Partially Compliant"),82,"")</f>
        <v/>
      </c>
      <c r="B85" s="19" t="str">
        <f>IF(OR(Assessment!F109="Non-Compliant",Assessment!F109="Partially Compliant"),Assessment!B109,"")</f>
        <v/>
      </c>
      <c r="C85" s="23" t="str">
        <f>IF(OR(Assessment!F109="Non-Compliant",Assessment!F109="Partially Compliant"),Assessment!C109,"")</f>
        <v/>
      </c>
      <c r="D85" s="24" t="str">
        <f>IF(OR(Assessment!F109="Non-Compliant",Assessment!F109="Partially Compliant"),Assessment!D109,"")</f>
        <v/>
      </c>
      <c r="E85" s="25" t="str">
        <f>IF(OR(Assessment!F109="Non-Compliant",Assessment!F109="Partially Compliant"),Assessment!E109,"")</f>
        <v/>
      </c>
      <c r="F85" s="18" t="str">
        <f>IF(OR(Assessment!F109="Non-Compliant",Assessment!F109="Partially Compliant"),Assessment!F109,"")</f>
        <v/>
      </c>
      <c r="G85" s="26"/>
      <c r="H85" s="20"/>
      <c r="I85" s="27"/>
    </row>
    <row r="86" spans="1:9" ht="39.75" customHeight="1" x14ac:dyDescent="0.3">
      <c r="A86" s="22" t="str">
        <f>IF(OR(Assessment!F110="Non-Compliant",Assessment!F110="Partially Compliant"),83,"")</f>
        <v/>
      </c>
      <c r="B86" s="19" t="str">
        <f>IF(OR(Assessment!F110="Non-Compliant",Assessment!F110="Partially Compliant"),Assessment!B110,"")</f>
        <v/>
      </c>
      <c r="C86" s="23" t="str">
        <f>IF(OR(Assessment!F110="Non-Compliant",Assessment!F110="Partially Compliant"),Assessment!C110,"")</f>
        <v/>
      </c>
      <c r="D86" s="24" t="str">
        <f>IF(OR(Assessment!F110="Non-Compliant",Assessment!F110="Partially Compliant"),Assessment!D110,"")</f>
        <v/>
      </c>
      <c r="E86" s="25" t="str">
        <f>IF(OR(Assessment!F110="Non-Compliant",Assessment!F110="Partially Compliant"),Assessment!E110,"")</f>
        <v/>
      </c>
      <c r="F86" s="18" t="str">
        <f>IF(OR(Assessment!F110="Non-Compliant",Assessment!F110="Partially Compliant"),Assessment!F110,"")</f>
        <v/>
      </c>
      <c r="G86" s="26"/>
      <c r="H86" s="20"/>
      <c r="I86" s="27"/>
    </row>
    <row r="87" spans="1:9" ht="39.75" customHeight="1" x14ac:dyDescent="0.3">
      <c r="A87" s="22" t="str">
        <f>IF(OR(Assessment!F111="Non-Compliant",Assessment!F111="Partially Compliant"),84,"")</f>
        <v/>
      </c>
      <c r="B87" s="19" t="str">
        <f>IF(OR(Assessment!F111="Non-Compliant",Assessment!F111="Partially Compliant"),Assessment!B111,"")</f>
        <v/>
      </c>
      <c r="C87" s="23" t="str">
        <f>IF(OR(Assessment!F111="Non-Compliant",Assessment!F111="Partially Compliant"),Assessment!C111,"")</f>
        <v/>
      </c>
      <c r="D87" s="24" t="str">
        <f>IF(OR(Assessment!F111="Non-Compliant",Assessment!F111="Partially Compliant"),Assessment!D111,"")</f>
        <v/>
      </c>
      <c r="E87" s="25" t="str">
        <f>IF(OR(Assessment!F111="Non-Compliant",Assessment!F111="Partially Compliant"),Assessment!E111,"")</f>
        <v/>
      </c>
      <c r="F87" s="18" t="str">
        <f>IF(OR(Assessment!F111="Non-Compliant",Assessment!F111="Partially Compliant"),Assessment!F111,"")</f>
        <v/>
      </c>
      <c r="G87" s="26"/>
      <c r="H87" s="20"/>
      <c r="I87" s="27"/>
    </row>
    <row r="88" spans="1:9" ht="39.75" customHeight="1" x14ac:dyDescent="0.3">
      <c r="A88" s="22" t="str">
        <f>IF(OR(Assessment!F113="Non-Compliant",Assessment!F113="Partially Compliant"),85,"")</f>
        <v/>
      </c>
      <c r="B88" s="19" t="str">
        <f>IF(OR(Assessment!F113="Non-Compliant",Assessment!F113="Partially Compliant"),Assessment!B113,"")</f>
        <v/>
      </c>
      <c r="C88" s="23" t="str">
        <f>IF(OR(Assessment!F113="Non-Compliant",Assessment!F113="Partially Compliant"),Assessment!C113,"")</f>
        <v/>
      </c>
      <c r="D88" s="24" t="str">
        <f>IF(OR(Assessment!F113="Non-Compliant",Assessment!F113="Partially Compliant"),Assessment!D113,"")</f>
        <v/>
      </c>
      <c r="E88" s="25" t="str">
        <f>IF(OR(Assessment!F113="Non-Compliant",Assessment!F113="Partially Compliant"),Assessment!E113,"")</f>
        <v/>
      </c>
      <c r="F88" s="18" t="str">
        <f>IF(OR(Assessment!F113="Non-Compliant",Assessment!F113="Partially Compliant"),Assessment!F113,"")</f>
        <v/>
      </c>
      <c r="G88" s="26"/>
      <c r="H88" s="20"/>
      <c r="I88" s="27"/>
    </row>
    <row r="89" spans="1:9" ht="39.75" customHeight="1" x14ac:dyDescent="0.3">
      <c r="A89" s="22" t="str">
        <f>IF(OR(Assessment!F114="Non-Compliant",Assessment!F114="Partially Compliant"),86,"")</f>
        <v/>
      </c>
      <c r="B89" s="19" t="str">
        <f>IF(OR(Assessment!F114="Non-Compliant",Assessment!F114="Partially Compliant"),Assessment!B114,"")</f>
        <v/>
      </c>
      <c r="C89" s="23" t="str">
        <f>IF(OR(Assessment!F114="Non-Compliant",Assessment!F114="Partially Compliant"),Assessment!C114,"")</f>
        <v/>
      </c>
      <c r="D89" s="24" t="str">
        <f>IF(OR(Assessment!F114="Non-Compliant",Assessment!F114="Partially Compliant"),Assessment!D114,"")</f>
        <v/>
      </c>
      <c r="E89" s="25" t="str">
        <f>IF(OR(Assessment!F114="Non-Compliant",Assessment!F114="Partially Compliant"),Assessment!E114,"")</f>
        <v/>
      </c>
      <c r="F89" s="18" t="str">
        <f>IF(OR(Assessment!F114="Non-Compliant",Assessment!F114="Partially Compliant"),Assessment!F114,"")</f>
        <v/>
      </c>
      <c r="G89" s="26"/>
      <c r="H89" s="20"/>
      <c r="I89" s="27"/>
    </row>
    <row r="90" spans="1:9" ht="39.75" customHeight="1" x14ac:dyDescent="0.3">
      <c r="A90" s="22" t="str">
        <f>IF(OR(Assessment!F115="Non-Compliant",Assessment!F115="Partially Compliant"),87,"")</f>
        <v/>
      </c>
      <c r="B90" s="19" t="str">
        <f>IF(OR(Assessment!F115="Non-Compliant",Assessment!F115="Partially Compliant"),Assessment!B115,"")</f>
        <v/>
      </c>
      <c r="C90" s="23" t="str">
        <f>IF(OR(Assessment!F115="Non-Compliant",Assessment!F115="Partially Compliant"),Assessment!C115,"")</f>
        <v/>
      </c>
      <c r="D90" s="24" t="str">
        <f>IF(OR(Assessment!F115="Non-Compliant",Assessment!F115="Partially Compliant"),Assessment!D115,"")</f>
        <v/>
      </c>
      <c r="E90" s="25" t="str">
        <f>IF(OR(Assessment!F115="Non-Compliant",Assessment!F115="Partially Compliant"),Assessment!E115,"")</f>
        <v/>
      </c>
      <c r="F90" s="18" t="str">
        <f>IF(OR(Assessment!F115="Non-Compliant",Assessment!F115="Partially Compliant"),Assessment!F115,"")</f>
        <v/>
      </c>
      <c r="G90" s="26"/>
      <c r="H90" s="20"/>
      <c r="I90" s="27"/>
    </row>
    <row r="91" spans="1:9" ht="39.75" customHeight="1" x14ac:dyDescent="0.3">
      <c r="A91" s="22" t="str">
        <f>IF(OR(Assessment!F116="Non-Compliant",Assessment!F116="Partially Compliant"),88,"")</f>
        <v/>
      </c>
      <c r="B91" s="19" t="str">
        <f>IF(OR(Assessment!F116="Non-Compliant",Assessment!F116="Partially Compliant"),Assessment!B116,"")</f>
        <v/>
      </c>
      <c r="C91" s="23" t="str">
        <f>IF(OR(Assessment!F116="Non-Compliant",Assessment!F116="Partially Compliant"),Assessment!C116,"")</f>
        <v/>
      </c>
      <c r="D91" s="24" t="str">
        <f>IF(OR(Assessment!F116="Non-Compliant",Assessment!F116="Partially Compliant"),Assessment!D116,"")</f>
        <v/>
      </c>
      <c r="E91" s="25" t="str">
        <f>IF(OR(Assessment!F116="Non-Compliant",Assessment!F116="Partially Compliant"),Assessment!E116,"")</f>
        <v/>
      </c>
      <c r="F91" s="18" t="str">
        <f>IF(OR(Assessment!F116="Non-Compliant",Assessment!F116="Partially Compliant"),Assessment!F116,"")</f>
        <v/>
      </c>
      <c r="G91" s="26"/>
      <c r="H91" s="20"/>
      <c r="I91" s="27"/>
    </row>
    <row r="92" spans="1:9" ht="39.75" customHeight="1" x14ac:dyDescent="0.3">
      <c r="A92" s="22" t="str">
        <f>IF(OR(Assessment!F118="Non-Compliant",Assessment!F118="Partially Compliant"),89,"")</f>
        <v/>
      </c>
      <c r="B92" s="19" t="str">
        <f>IF(OR(Assessment!F118="Non-Compliant",Assessment!F118="Partially Compliant"),Assessment!B118,"")</f>
        <v/>
      </c>
      <c r="C92" s="23" t="str">
        <f>IF(OR(Assessment!F118="Non-Compliant",Assessment!F118="Partially Compliant"),Assessment!C118,"")</f>
        <v/>
      </c>
      <c r="D92" s="24" t="str">
        <f>IF(OR(Assessment!F118="Non-Compliant",Assessment!F118="Partially Compliant"),Assessment!D118,"")</f>
        <v/>
      </c>
      <c r="E92" s="25" t="str">
        <f>IF(OR(Assessment!F118="Non-Compliant",Assessment!F118="Partially Compliant"),Assessment!E118,"")</f>
        <v/>
      </c>
      <c r="F92" s="18" t="str">
        <f>IF(OR(Assessment!F118="Non-Compliant",Assessment!F118="Partially Compliant"),Assessment!F118,"")</f>
        <v/>
      </c>
      <c r="G92" s="26"/>
      <c r="H92" s="20"/>
      <c r="I92" s="27"/>
    </row>
    <row r="93" spans="1:9" ht="39.75" customHeight="1" x14ac:dyDescent="0.3">
      <c r="A93" s="22" t="str">
        <f>IF(OR(Assessment!F119="Non-Compliant",Assessment!F119="Partially Compliant"),90,"")</f>
        <v/>
      </c>
      <c r="B93" s="19" t="str">
        <f>IF(OR(Assessment!F119="Non-Compliant",Assessment!F119="Partially Compliant"),Assessment!B119,"")</f>
        <v/>
      </c>
      <c r="C93" s="23" t="str">
        <f>IF(OR(Assessment!F119="Non-Compliant",Assessment!F119="Partially Compliant"),Assessment!C119,"")</f>
        <v/>
      </c>
      <c r="D93" s="24" t="str">
        <f>IF(OR(Assessment!F119="Non-Compliant",Assessment!F119="Partially Compliant"),Assessment!D119,"")</f>
        <v/>
      </c>
      <c r="E93" s="25" t="str">
        <f>IF(OR(Assessment!F119="Non-Compliant",Assessment!F119="Partially Compliant"),Assessment!E119,"")</f>
        <v/>
      </c>
      <c r="F93" s="18" t="str">
        <f>IF(OR(Assessment!F119="Non-Compliant",Assessment!F119="Partially Compliant"),Assessment!F119,"")</f>
        <v/>
      </c>
      <c r="G93" s="26"/>
      <c r="H93" s="20"/>
      <c r="I93" s="27"/>
    </row>
    <row r="94" spans="1:9" ht="39.75" customHeight="1" x14ac:dyDescent="0.3">
      <c r="A94" s="22" t="str">
        <f>IF(OR(Assessment!F120="Non-Compliant",Assessment!F120="Partially Compliant"),91,"")</f>
        <v/>
      </c>
      <c r="B94" s="19" t="str">
        <f>IF(OR(Assessment!F120="Non-Compliant",Assessment!F120="Partially Compliant"),Assessment!B120,"")</f>
        <v/>
      </c>
      <c r="C94" s="23" t="str">
        <f>IF(OR(Assessment!F120="Non-Compliant",Assessment!F120="Partially Compliant"),Assessment!C120,"")</f>
        <v/>
      </c>
      <c r="D94" s="24" t="str">
        <f>IF(OR(Assessment!F120="Non-Compliant",Assessment!F120="Partially Compliant"),Assessment!D120,"")</f>
        <v/>
      </c>
      <c r="E94" s="25" t="str">
        <f>IF(OR(Assessment!F120="Non-Compliant",Assessment!F120="Partially Compliant"),Assessment!E120,"")</f>
        <v/>
      </c>
      <c r="F94" s="18" t="str">
        <f>IF(OR(Assessment!F120="Non-Compliant",Assessment!F120="Partially Compliant"),Assessment!F120,"")</f>
        <v/>
      </c>
      <c r="G94" s="26"/>
      <c r="H94" s="20"/>
      <c r="I94" s="27"/>
    </row>
    <row r="95" spans="1:9" ht="39.75" customHeight="1" x14ac:dyDescent="0.3">
      <c r="A95" s="22" t="str">
        <f>IF(OR(Assessment!F121="Non-Compliant",Assessment!F121="Partially Compliant"),92,"")</f>
        <v/>
      </c>
      <c r="B95" s="19" t="str">
        <f>IF(OR(Assessment!F121="Non-Compliant",Assessment!F121="Partially Compliant"),Assessment!B121,"")</f>
        <v/>
      </c>
      <c r="C95" s="23" t="str">
        <f>IF(OR(Assessment!F121="Non-Compliant",Assessment!F121="Partially Compliant"),Assessment!C121,"")</f>
        <v/>
      </c>
      <c r="D95" s="24" t="str">
        <f>IF(OR(Assessment!F121="Non-Compliant",Assessment!F121="Partially Compliant"),Assessment!D121,"")</f>
        <v/>
      </c>
      <c r="E95" s="25" t="str">
        <f>IF(OR(Assessment!F121="Non-Compliant",Assessment!F121="Partially Compliant"),Assessment!E121,"")</f>
        <v/>
      </c>
      <c r="F95" s="18" t="str">
        <f>IF(OR(Assessment!F121="Non-Compliant",Assessment!F121="Partially Compliant"),Assessment!F121,"")</f>
        <v/>
      </c>
      <c r="G95" s="26"/>
      <c r="H95" s="20"/>
      <c r="I95" s="27"/>
    </row>
    <row r="96" spans="1:9" ht="39.75" customHeight="1" x14ac:dyDescent="0.3">
      <c r="A96" s="22" t="str">
        <f>IF(OR(Assessment!F123="Non-Compliant",Assessment!F123="Partially Compliant"),93,"")</f>
        <v/>
      </c>
      <c r="B96" s="19" t="str">
        <f>IF(OR(Assessment!F123="Non-Compliant",Assessment!F123="Partially Compliant"),Assessment!B123,"")</f>
        <v/>
      </c>
      <c r="C96" s="23" t="str">
        <f>IF(OR(Assessment!F123="Non-Compliant",Assessment!F123="Partially Compliant"),Assessment!C123,"")</f>
        <v/>
      </c>
      <c r="D96" s="24" t="str">
        <f>IF(OR(Assessment!F123="Non-Compliant",Assessment!F123="Partially Compliant"),Assessment!D123,"")</f>
        <v/>
      </c>
      <c r="E96" s="25" t="str">
        <f>IF(OR(Assessment!F123="Non-Compliant",Assessment!F123="Partially Compliant"),Assessment!E123,"")</f>
        <v/>
      </c>
      <c r="F96" s="18" t="str">
        <f>IF(OR(Assessment!F123="Non-Compliant",Assessment!F123="Partially Compliant"),Assessment!F123,"")</f>
        <v/>
      </c>
      <c r="G96" s="26"/>
      <c r="H96" s="20"/>
      <c r="I96" s="27"/>
    </row>
    <row r="97" spans="1:9" ht="39.75" customHeight="1" x14ac:dyDescent="0.3">
      <c r="A97" s="22" t="str">
        <f>IF(OR(Assessment!F124="Non-Compliant",Assessment!F124="Partially Compliant"),94,"")</f>
        <v/>
      </c>
      <c r="B97" s="19" t="str">
        <f>IF(OR(Assessment!F124="Non-Compliant",Assessment!F124="Partially Compliant"),Assessment!B124,"")</f>
        <v/>
      </c>
      <c r="C97" s="23" t="str">
        <f>IF(OR(Assessment!F124="Non-Compliant",Assessment!F124="Partially Compliant"),Assessment!C124,"")</f>
        <v/>
      </c>
      <c r="D97" s="24" t="str">
        <f>IF(OR(Assessment!F124="Non-Compliant",Assessment!F124="Partially Compliant"),Assessment!D124,"")</f>
        <v/>
      </c>
      <c r="E97" s="25" t="str">
        <f>IF(OR(Assessment!F124="Non-Compliant",Assessment!F124="Partially Compliant"),Assessment!E124,"")</f>
        <v/>
      </c>
      <c r="F97" s="18" t="str">
        <f>IF(OR(Assessment!F124="Non-Compliant",Assessment!F124="Partially Compliant"),Assessment!F124,"")</f>
        <v/>
      </c>
      <c r="G97" s="26"/>
      <c r="H97" s="20"/>
      <c r="I97" s="27"/>
    </row>
    <row r="98" spans="1:9" ht="39.75" customHeight="1" x14ac:dyDescent="0.3">
      <c r="A98" s="22" t="str">
        <f>IF(OR(Assessment!F125="Non-Compliant",Assessment!F125="Partially Compliant"),95,"")</f>
        <v/>
      </c>
      <c r="B98" s="19" t="str">
        <f>IF(OR(Assessment!F125="Non-Compliant",Assessment!F125="Partially Compliant"),Assessment!B125,"")</f>
        <v/>
      </c>
      <c r="C98" s="23" t="str">
        <f>IF(OR(Assessment!F125="Non-Compliant",Assessment!F125="Partially Compliant"),Assessment!C125,"")</f>
        <v/>
      </c>
      <c r="D98" s="24" t="str">
        <f>IF(OR(Assessment!F125="Non-Compliant",Assessment!F125="Partially Compliant"),Assessment!D125,"")</f>
        <v/>
      </c>
      <c r="E98" s="25" t="str">
        <f>IF(OR(Assessment!F125="Non-Compliant",Assessment!F125="Partially Compliant"),Assessment!E125,"")</f>
        <v/>
      </c>
      <c r="F98" s="18" t="str">
        <f>IF(OR(Assessment!F125="Non-Compliant",Assessment!F125="Partially Compliant"),Assessment!F125,"")</f>
        <v/>
      </c>
      <c r="G98" s="26"/>
      <c r="H98" s="20"/>
      <c r="I98" s="27"/>
    </row>
    <row r="99" spans="1:9" ht="39.75" customHeight="1" x14ac:dyDescent="0.3">
      <c r="A99" s="22" t="str">
        <f>IF(OR(Assessment!F126="Non-Compliant",Assessment!F126="Partially Compliant"),96,"")</f>
        <v/>
      </c>
      <c r="B99" s="19" t="str">
        <f>IF(OR(Assessment!F126="Non-Compliant",Assessment!F126="Partially Compliant"),Assessment!B126,"")</f>
        <v/>
      </c>
      <c r="C99" s="23" t="str">
        <f>IF(OR(Assessment!F126="Non-Compliant",Assessment!F126="Partially Compliant"),Assessment!C126,"")</f>
        <v/>
      </c>
      <c r="D99" s="24" t="str">
        <f>IF(OR(Assessment!F126="Non-Compliant",Assessment!F126="Partially Compliant"),Assessment!D126,"")</f>
        <v/>
      </c>
      <c r="E99" s="25" t="str">
        <f>IF(OR(Assessment!F126="Non-Compliant",Assessment!F126="Partially Compliant"),Assessment!E126,"")</f>
        <v/>
      </c>
      <c r="F99" s="18" t="str">
        <f>IF(OR(Assessment!F126="Non-Compliant",Assessment!F126="Partially Compliant"),Assessment!F126,"")</f>
        <v/>
      </c>
      <c r="G99" s="26"/>
      <c r="H99" s="20"/>
      <c r="I99" s="27"/>
    </row>
    <row r="100" spans="1:9" ht="39.75" customHeight="1" x14ac:dyDescent="0.3">
      <c r="A100" s="22" t="str">
        <f>IF(OR(Assessment!F129="Non-Compliant",Assessment!F129="Partially Compliant"),97,"")</f>
        <v/>
      </c>
      <c r="B100" s="19" t="str">
        <f>IF(OR(Assessment!F129="Non-Compliant",Assessment!F129="Partially Compliant"),Assessment!B129,"")</f>
        <v/>
      </c>
      <c r="C100" s="23" t="str">
        <f>IF(OR(Assessment!F129="Non-Compliant",Assessment!F129="Partially Compliant"),Assessment!C129,"")</f>
        <v/>
      </c>
      <c r="D100" s="24" t="str">
        <f>IF(OR(Assessment!F129="Non-Compliant",Assessment!F129="Partially Compliant"),Assessment!D129,"")</f>
        <v/>
      </c>
      <c r="E100" s="25" t="str">
        <f>IF(OR(Assessment!F129="Non-Compliant",Assessment!F129="Partially Compliant"),Assessment!E129,"")</f>
        <v/>
      </c>
      <c r="F100" s="18" t="str">
        <f>IF(OR(Assessment!F129="Non-Compliant",Assessment!F129="Partially Compliant"),Assessment!F129,"")</f>
        <v/>
      </c>
      <c r="G100" s="26"/>
      <c r="H100" s="20"/>
      <c r="I100" s="27"/>
    </row>
    <row r="101" spans="1:9" ht="39.75" customHeight="1" x14ac:dyDescent="0.3">
      <c r="A101" s="22" t="str">
        <f>IF(OR(Assessment!F130="Non-Compliant",Assessment!F130="Partially Compliant"),98,"")</f>
        <v/>
      </c>
      <c r="B101" s="19" t="str">
        <f>IF(OR(Assessment!F130="Non-Compliant",Assessment!F130="Partially Compliant"),Assessment!B130,"")</f>
        <v/>
      </c>
      <c r="C101" s="23" t="str">
        <f>IF(OR(Assessment!F130="Non-Compliant",Assessment!F130="Partially Compliant"),Assessment!C130,"")</f>
        <v/>
      </c>
      <c r="D101" s="24" t="str">
        <f>IF(OR(Assessment!F130="Non-Compliant",Assessment!F130="Partially Compliant"),Assessment!D130,"")</f>
        <v/>
      </c>
      <c r="E101" s="25" t="str">
        <f>IF(OR(Assessment!F130="Non-Compliant",Assessment!F130="Partially Compliant"),Assessment!E130,"")</f>
        <v/>
      </c>
      <c r="F101" s="18" t="str">
        <f>IF(OR(Assessment!F130="Non-Compliant",Assessment!F130="Partially Compliant"),Assessment!F130,"")</f>
        <v/>
      </c>
      <c r="G101" s="26"/>
      <c r="H101" s="20"/>
      <c r="I101" s="27"/>
    </row>
    <row r="102" spans="1:9" ht="39.75" customHeight="1" x14ac:dyDescent="0.3">
      <c r="A102" s="22" t="str">
        <f>IF(OR(Assessment!F131="Non-Compliant",Assessment!F131="Partially Compliant"),99,"")</f>
        <v/>
      </c>
      <c r="B102" s="19" t="str">
        <f>IF(OR(Assessment!F131="Non-Compliant",Assessment!F131="Partially Compliant"),Assessment!B131,"")</f>
        <v/>
      </c>
      <c r="C102" s="23" t="str">
        <f>IF(OR(Assessment!F131="Non-Compliant",Assessment!F131="Partially Compliant"),Assessment!C131,"")</f>
        <v/>
      </c>
      <c r="D102" s="24" t="str">
        <f>IF(OR(Assessment!F131="Non-Compliant",Assessment!F131="Partially Compliant"),Assessment!D131,"")</f>
        <v/>
      </c>
      <c r="E102" s="25" t="str">
        <f>IF(OR(Assessment!F131="Non-Compliant",Assessment!F131="Partially Compliant"),Assessment!E131,"")</f>
        <v/>
      </c>
      <c r="F102" s="18" t="str">
        <f>IF(OR(Assessment!F131="Non-Compliant",Assessment!F131="Partially Compliant"),Assessment!F131,"")</f>
        <v/>
      </c>
      <c r="G102" s="26"/>
      <c r="H102" s="20"/>
      <c r="I102" s="27"/>
    </row>
    <row r="103" spans="1:9" ht="39.75" customHeight="1" x14ac:dyDescent="0.3">
      <c r="A103" s="22" t="str">
        <f>IF(OR(Assessment!F132="Non-Compliant",Assessment!F132="Partially Compliant"),100,"")</f>
        <v/>
      </c>
      <c r="B103" s="19" t="str">
        <f>IF(OR(Assessment!F132="Non-Compliant",Assessment!F132="Partially Compliant"),Assessment!B132,"")</f>
        <v/>
      </c>
      <c r="C103" s="23" t="str">
        <f>IF(OR(Assessment!F132="Non-Compliant",Assessment!F132="Partially Compliant"),Assessment!C132,"")</f>
        <v/>
      </c>
      <c r="D103" s="24" t="str">
        <f>IF(OR(Assessment!F132="Non-Compliant",Assessment!F132="Partially Compliant"),Assessment!D132,"")</f>
        <v/>
      </c>
      <c r="E103" s="25" t="str">
        <f>IF(OR(Assessment!F132="Non-Compliant",Assessment!F132="Partially Compliant"),Assessment!E132,"")</f>
        <v/>
      </c>
      <c r="F103" s="18" t="str">
        <f>IF(OR(Assessment!F132="Non-Compliant",Assessment!F132="Partially Compliant"),Assessment!F132,"")</f>
        <v/>
      </c>
      <c r="G103" s="26"/>
      <c r="H103" s="20"/>
      <c r="I103" s="27"/>
    </row>
    <row r="104" spans="1:9" ht="39.75" customHeight="1" x14ac:dyDescent="0.3">
      <c r="A104" s="22" t="str">
        <f>IF(OR(Assessment!F135="Non-Compliant",Assessment!F135="Partially Compliant"),101,"")</f>
        <v/>
      </c>
      <c r="B104" s="19" t="str">
        <f>IF(OR(Assessment!F135="Non-Compliant",Assessment!F135="Partially Compliant"),Assessment!B135,"")</f>
        <v/>
      </c>
      <c r="C104" s="23" t="str">
        <f>IF(OR(Assessment!F135="Non-Compliant",Assessment!F135="Partially Compliant"),Assessment!C135,"")</f>
        <v/>
      </c>
      <c r="D104" s="24" t="str">
        <f>IF(OR(Assessment!F135="Non-Compliant",Assessment!F135="Partially Compliant"),Assessment!D135,"")</f>
        <v/>
      </c>
      <c r="E104" s="25" t="str">
        <f>IF(OR(Assessment!F135="Non-Compliant",Assessment!F135="Partially Compliant"),Assessment!E135,"")</f>
        <v/>
      </c>
      <c r="F104" s="18" t="str">
        <f>IF(OR(Assessment!F135="Non-Compliant",Assessment!F135="Partially Compliant"),Assessment!F135,"")</f>
        <v/>
      </c>
      <c r="G104" s="26"/>
      <c r="H104" s="20"/>
      <c r="I104" s="27"/>
    </row>
    <row r="105" spans="1:9" ht="39.75" customHeight="1" x14ac:dyDescent="0.3">
      <c r="A105" s="22" t="str">
        <f>IF(OR(Assessment!F136="Non-Compliant",Assessment!F136="Partially Compliant"),102,"")</f>
        <v/>
      </c>
      <c r="B105" s="19" t="str">
        <f>IF(OR(Assessment!F136="Non-Compliant",Assessment!F136="Partially Compliant"),Assessment!B136,"")</f>
        <v/>
      </c>
      <c r="C105" s="23" t="str">
        <f>IF(OR(Assessment!F136="Non-Compliant",Assessment!F136="Partially Compliant"),Assessment!C136,"")</f>
        <v/>
      </c>
      <c r="D105" s="24" t="str">
        <f>IF(OR(Assessment!F136="Non-Compliant",Assessment!F136="Partially Compliant"),Assessment!D136,"")</f>
        <v/>
      </c>
      <c r="E105" s="25" t="str">
        <f>IF(OR(Assessment!F136="Non-Compliant",Assessment!F136="Partially Compliant"),Assessment!E136,"")</f>
        <v/>
      </c>
      <c r="F105" s="18" t="str">
        <f>IF(OR(Assessment!F136="Non-Compliant",Assessment!F136="Partially Compliant"),Assessment!F136,"")</f>
        <v/>
      </c>
      <c r="G105" s="26"/>
      <c r="H105" s="20"/>
      <c r="I105" s="27"/>
    </row>
    <row r="106" spans="1:9" ht="39.75" customHeight="1" x14ac:dyDescent="0.3">
      <c r="A106" s="22" t="str">
        <f>IF(OR(Assessment!F137="Non-Compliant",Assessment!F137="Partially Compliant"),103,"")</f>
        <v/>
      </c>
      <c r="B106" s="19" t="str">
        <f>IF(OR(Assessment!F137="Non-Compliant",Assessment!F137="Partially Compliant"),Assessment!B137,"")</f>
        <v/>
      </c>
      <c r="C106" s="23" t="str">
        <f>IF(OR(Assessment!F137="Non-Compliant",Assessment!F137="Partially Compliant"),Assessment!C137,"")</f>
        <v/>
      </c>
      <c r="D106" s="24" t="str">
        <f>IF(OR(Assessment!F137="Non-Compliant",Assessment!F137="Partially Compliant"),Assessment!D137,"")</f>
        <v/>
      </c>
      <c r="E106" s="25" t="str">
        <f>IF(OR(Assessment!F137="Non-Compliant",Assessment!F137="Partially Compliant"),Assessment!E137,"")</f>
        <v/>
      </c>
      <c r="F106" s="18" t="str">
        <f>IF(OR(Assessment!F137="Non-Compliant",Assessment!F137="Partially Compliant"),Assessment!F137,"")</f>
        <v/>
      </c>
      <c r="G106" s="26"/>
      <c r="H106" s="20"/>
      <c r="I106" s="27"/>
    </row>
    <row r="107" spans="1:9" ht="39.75" customHeight="1" x14ac:dyDescent="0.3">
      <c r="A107" s="22" t="str">
        <f>IF(OR(Assessment!F138="Non-Compliant",Assessment!F138="Partially Compliant"),104,"")</f>
        <v/>
      </c>
      <c r="B107" s="19" t="str">
        <f>IF(OR(Assessment!F138="Non-Compliant",Assessment!F138="Partially Compliant"),Assessment!B138,"")</f>
        <v/>
      </c>
      <c r="C107" s="23" t="str">
        <f>IF(OR(Assessment!F138="Non-Compliant",Assessment!F138="Partially Compliant"),Assessment!C138,"")</f>
        <v/>
      </c>
      <c r="D107" s="24" t="str">
        <f>IF(OR(Assessment!F138="Non-Compliant",Assessment!F138="Partially Compliant"),Assessment!D138,"")</f>
        <v/>
      </c>
      <c r="E107" s="25" t="str">
        <f>IF(OR(Assessment!F138="Non-Compliant",Assessment!F138="Partially Compliant"),Assessment!E138,"")</f>
        <v/>
      </c>
      <c r="F107" s="18" t="str">
        <f>IF(OR(Assessment!F138="Non-Compliant",Assessment!F138="Partially Compliant"),Assessment!F138,"")</f>
        <v/>
      </c>
      <c r="G107" s="26"/>
      <c r="H107" s="20"/>
      <c r="I107" s="27"/>
    </row>
    <row r="108" spans="1:9" ht="39.75" customHeight="1" x14ac:dyDescent="0.3">
      <c r="A108" s="22" t="str">
        <f>IF(OR(Assessment!F140="Non-Compliant",Assessment!F140="Partially Compliant"),105,"")</f>
        <v/>
      </c>
      <c r="B108" s="19" t="str">
        <f>IF(OR(Assessment!F140="Non-Compliant",Assessment!F140="Partially Compliant"),Assessment!B140,"")</f>
        <v/>
      </c>
      <c r="C108" s="23" t="str">
        <f>IF(OR(Assessment!F140="Non-Compliant",Assessment!F140="Partially Compliant"),Assessment!C140,"")</f>
        <v/>
      </c>
      <c r="D108" s="24" t="str">
        <f>IF(OR(Assessment!F140="Non-Compliant",Assessment!F140="Partially Compliant"),Assessment!D140,"")</f>
        <v/>
      </c>
      <c r="E108" s="25" t="str">
        <f>IF(OR(Assessment!F140="Non-Compliant",Assessment!F140="Partially Compliant"),Assessment!E140,"")</f>
        <v/>
      </c>
      <c r="F108" s="18" t="str">
        <f>IF(OR(Assessment!F140="Non-Compliant",Assessment!F140="Partially Compliant"),Assessment!F140,"")</f>
        <v/>
      </c>
      <c r="G108" s="26"/>
      <c r="H108" s="20"/>
      <c r="I108" s="27"/>
    </row>
    <row r="109" spans="1:9" ht="39.75" customHeight="1" x14ac:dyDescent="0.3">
      <c r="A109" s="22" t="str">
        <f>IF(OR(Assessment!F141="Non-Compliant",Assessment!F141="Partially Compliant"),106,"")</f>
        <v/>
      </c>
      <c r="B109" s="19" t="str">
        <f>IF(OR(Assessment!F141="Non-Compliant",Assessment!F141="Partially Compliant"),Assessment!B141,"")</f>
        <v/>
      </c>
      <c r="C109" s="23" t="str">
        <f>IF(OR(Assessment!F141="Non-Compliant",Assessment!F141="Partially Compliant"),Assessment!C141,"")</f>
        <v/>
      </c>
      <c r="D109" s="24" t="str">
        <f>IF(OR(Assessment!F141="Non-Compliant",Assessment!F141="Partially Compliant"),Assessment!D141,"")</f>
        <v/>
      </c>
      <c r="E109" s="25" t="str">
        <f>IF(OR(Assessment!F141="Non-Compliant",Assessment!F141="Partially Compliant"),Assessment!E141,"")</f>
        <v/>
      </c>
      <c r="F109" s="18" t="str">
        <f>IF(OR(Assessment!F141="Non-Compliant",Assessment!F141="Partially Compliant"),Assessment!F141,"")</f>
        <v/>
      </c>
      <c r="G109" s="26"/>
      <c r="H109" s="20"/>
      <c r="I109" s="27"/>
    </row>
    <row r="110" spans="1:9" ht="39.75" customHeight="1" x14ac:dyDescent="0.3">
      <c r="A110" s="22" t="str">
        <f>IF(OR(Assessment!F142="Non-Compliant",Assessment!F142="Partially Compliant"),107,"")</f>
        <v/>
      </c>
      <c r="B110" s="19" t="str">
        <f>IF(OR(Assessment!F142="Non-Compliant",Assessment!F142="Partially Compliant"),Assessment!B142,"")</f>
        <v/>
      </c>
      <c r="C110" s="23" t="str">
        <f>IF(OR(Assessment!F142="Non-Compliant",Assessment!F142="Partially Compliant"),Assessment!C142,"")</f>
        <v/>
      </c>
      <c r="D110" s="24" t="str">
        <f>IF(OR(Assessment!F142="Non-Compliant",Assessment!F142="Partially Compliant"),Assessment!D142,"")</f>
        <v/>
      </c>
      <c r="E110" s="25" t="str">
        <f>IF(OR(Assessment!F142="Non-Compliant",Assessment!F142="Partially Compliant"),Assessment!E142,"")</f>
        <v/>
      </c>
      <c r="F110" s="18" t="str">
        <f>IF(OR(Assessment!F142="Non-Compliant",Assessment!F142="Partially Compliant"),Assessment!F142,"")</f>
        <v/>
      </c>
      <c r="G110" s="26"/>
      <c r="H110" s="20"/>
      <c r="I110" s="27"/>
    </row>
    <row r="111" spans="1:9" ht="39.75" customHeight="1" x14ac:dyDescent="0.3">
      <c r="A111" s="22" t="str">
        <f>IF(OR(Assessment!F143="Non-Compliant",Assessment!F143="Partially Compliant"),108,"")</f>
        <v/>
      </c>
      <c r="B111" s="19" t="str">
        <f>IF(OR(Assessment!F143="Non-Compliant",Assessment!F143="Partially Compliant"),Assessment!B143,"")</f>
        <v/>
      </c>
      <c r="C111" s="23" t="str">
        <f>IF(OR(Assessment!F143="Non-Compliant",Assessment!F143="Partially Compliant"),Assessment!C143,"")</f>
        <v/>
      </c>
      <c r="D111" s="24" t="str">
        <f>IF(OR(Assessment!F143="Non-Compliant",Assessment!F143="Partially Compliant"),Assessment!D143,"")</f>
        <v/>
      </c>
      <c r="E111" s="25" t="str">
        <f>IF(OR(Assessment!F143="Non-Compliant",Assessment!F143="Partially Compliant"),Assessment!E143,"")</f>
        <v/>
      </c>
      <c r="F111" s="18" t="str">
        <f>IF(OR(Assessment!F143="Non-Compliant",Assessment!F143="Partially Compliant"),Assessment!F143,"")</f>
        <v/>
      </c>
      <c r="G111" s="26"/>
      <c r="H111" s="20"/>
      <c r="I111" s="27"/>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A7D44"/>
  </sheetPr>
  <dimension ref="A1:H34"/>
  <sheetViews>
    <sheetView zoomScaleNormal="100" workbookViewId="0">
      <pane ySplit="2" topLeftCell="A3" activePane="bottomLeft" state="frozen"/>
      <selection pane="bottomLeft"/>
    </sheetView>
  </sheetViews>
  <sheetFormatPr defaultColWidth="8.6640625" defaultRowHeight="14.4" x14ac:dyDescent="0.3"/>
  <cols>
    <col min="1" max="1" width="10" customWidth="1"/>
    <col min="2" max="2" width="38" customWidth="1"/>
    <col min="3" max="7" width="12" customWidth="1"/>
    <col min="8" max="8" width="16" customWidth="1"/>
  </cols>
  <sheetData>
    <row r="1" spans="1:8" ht="39.75" customHeight="1" x14ac:dyDescent="0.3">
      <c r="A1" s="68" t="s">
        <v>438</v>
      </c>
      <c r="B1" s="68"/>
      <c r="C1" s="68"/>
      <c r="D1" s="68"/>
      <c r="E1" s="68"/>
      <c r="F1" s="68"/>
      <c r="G1" s="68"/>
      <c r="H1" s="68"/>
    </row>
    <row r="2" spans="1:8" x14ac:dyDescent="0.3">
      <c r="A2" s="28" t="s">
        <v>439</v>
      </c>
      <c r="B2" s="28" t="s">
        <v>49</v>
      </c>
      <c r="C2" s="28" t="s">
        <v>37</v>
      </c>
      <c r="D2" s="28" t="s">
        <v>17</v>
      </c>
      <c r="E2" s="28" t="s">
        <v>38</v>
      </c>
      <c r="F2" s="28" t="s">
        <v>39</v>
      </c>
      <c r="G2" s="28" t="s">
        <v>40</v>
      </c>
      <c r="H2" s="28" t="s">
        <v>41</v>
      </c>
    </row>
    <row r="3" spans="1:8" x14ac:dyDescent="0.3">
      <c r="A3" s="69" t="s">
        <v>440</v>
      </c>
      <c r="B3" s="69"/>
      <c r="C3" s="69"/>
      <c r="D3" s="69"/>
      <c r="E3" s="69"/>
      <c r="F3" s="69"/>
      <c r="G3" s="69"/>
      <c r="H3" s="69"/>
    </row>
    <row r="4" spans="1:8" x14ac:dyDescent="0.3">
      <c r="A4" s="29" t="s">
        <v>441</v>
      </c>
      <c r="B4" s="1" t="s">
        <v>442</v>
      </c>
      <c r="C4" s="30">
        <v>3</v>
      </c>
      <c r="D4" s="31">
        <f>COUNTIF(Assessment!F6:F8,"Compliant")</f>
        <v>0</v>
      </c>
      <c r="E4" s="32">
        <f>COUNTIF(Assessment!F6:F8,"Partially Compliant")</f>
        <v>0</v>
      </c>
      <c r="F4" s="33">
        <f>COUNTIF(Assessment!F6:F8,"Non-Compliant")</f>
        <v>0</v>
      </c>
      <c r="G4" s="30">
        <f>COUNTIF(Assessment!F6:F8,"Not Applicable")</f>
        <v>0</v>
      </c>
      <c r="H4" s="34">
        <f t="shared" ref="H4:H13" si="0">IF((D4+E4+F4)&gt;0,D4/(D4+E4+F4),0)</f>
        <v>0</v>
      </c>
    </row>
    <row r="5" spans="1:8" x14ac:dyDescent="0.3">
      <c r="A5" s="19" t="s">
        <v>443</v>
      </c>
      <c r="B5" s="35" t="s">
        <v>444</v>
      </c>
      <c r="C5" s="36">
        <v>3</v>
      </c>
      <c r="D5" s="16">
        <f>COUNTIF(Assessment!F10:F12,"Compliant")</f>
        <v>0</v>
      </c>
      <c r="E5" s="17">
        <f>COUNTIF(Assessment!F10:F12,"Partially Compliant")</f>
        <v>0</v>
      </c>
      <c r="F5" s="18">
        <f>COUNTIF(Assessment!F10:F12,"Non-Compliant")</f>
        <v>0</v>
      </c>
      <c r="G5" s="36">
        <f>COUNTIF(Assessment!F10:F12,"Not Applicable")</f>
        <v>0</v>
      </c>
      <c r="H5" s="12">
        <f t="shared" si="0"/>
        <v>0</v>
      </c>
    </row>
    <row r="6" spans="1:8" x14ac:dyDescent="0.3">
      <c r="A6" s="29" t="s">
        <v>445</v>
      </c>
      <c r="B6" s="1" t="s">
        <v>446</v>
      </c>
      <c r="C6" s="30">
        <v>4</v>
      </c>
      <c r="D6" s="31">
        <f>COUNTIF(Assessment!F14:F17,"Compliant")</f>
        <v>0</v>
      </c>
      <c r="E6" s="32">
        <f>COUNTIF(Assessment!F14:F17,"Partially Compliant")</f>
        <v>0</v>
      </c>
      <c r="F6" s="33">
        <f>COUNTIF(Assessment!F14:F17,"Non-Compliant")</f>
        <v>0</v>
      </c>
      <c r="G6" s="30">
        <f>COUNTIF(Assessment!F14:F17,"Not Applicable")</f>
        <v>0</v>
      </c>
      <c r="H6" s="34">
        <f t="shared" si="0"/>
        <v>0</v>
      </c>
    </row>
    <row r="7" spans="1:8" x14ac:dyDescent="0.3">
      <c r="A7" s="19" t="s">
        <v>447</v>
      </c>
      <c r="B7" s="35" t="s">
        <v>448</v>
      </c>
      <c r="C7" s="36">
        <v>2</v>
      </c>
      <c r="D7" s="16">
        <f>COUNTIF(Assessment!F19:F20,"Compliant")</f>
        <v>0</v>
      </c>
      <c r="E7" s="17">
        <f>COUNTIF(Assessment!F19:F20,"Partially Compliant")</f>
        <v>0</v>
      </c>
      <c r="F7" s="18">
        <f>COUNTIF(Assessment!F19:F20,"Non-Compliant")</f>
        <v>0</v>
      </c>
      <c r="G7" s="36">
        <f>COUNTIF(Assessment!F19:F20,"Not Applicable")</f>
        <v>0</v>
      </c>
      <c r="H7" s="12">
        <f t="shared" si="0"/>
        <v>0</v>
      </c>
    </row>
    <row r="8" spans="1:8" x14ac:dyDescent="0.3">
      <c r="A8" s="29" t="s">
        <v>449</v>
      </c>
      <c r="B8" s="1" t="s">
        <v>450</v>
      </c>
      <c r="C8" s="30">
        <v>4</v>
      </c>
      <c r="D8" s="31">
        <f>COUNTIF(Assessment!F22:F25,"Compliant")</f>
        <v>0</v>
      </c>
      <c r="E8" s="32">
        <f>COUNTIF(Assessment!F22:F25,"Partially Compliant")</f>
        <v>0</v>
      </c>
      <c r="F8" s="33">
        <f>COUNTIF(Assessment!F22:F25,"Non-Compliant")</f>
        <v>0</v>
      </c>
      <c r="G8" s="30">
        <f>COUNTIF(Assessment!F22:F25,"Not Applicable")</f>
        <v>0</v>
      </c>
      <c r="H8" s="34">
        <f t="shared" si="0"/>
        <v>0</v>
      </c>
    </row>
    <row r="9" spans="1:8" x14ac:dyDescent="0.3">
      <c r="A9" s="19" t="s">
        <v>451</v>
      </c>
      <c r="B9" s="35" t="s">
        <v>452</v>
      </c>
      <c r="C9" s="36">
        <v>4</v>
      </c>
      <c r="D9" s="16">
        <f>COUNTIF(Assessment!F27:F30,"Compliant")</f>
        <v>0</v>
      </c>
      <c r="E9" s="17">
        <f>COUNTIF(Assessment!F27:F30,"Partially Compliant")</f>
        <v>0</v>
      </c>
      <c r="F9" s="18">
        <f>COUNTIF(Assessment!F27:F30,"Non-Compliant")</f>
        <v>0</v>
      </c>
      <c r="G9" s="36">
        <f>COUNTIF(Assessment!F27:F30,"Not Applicable")</f>
        <v>0</v>
      </c>
      <c r="H9" s="12">
        <f t="shared" si="0"/>
        <v>0</v>
      </c>
    </row>
    <row r="10" spans="1:8" x14ac:dyDescent="0.3">
      <c r="A10" s="29" t="s">
        <v>453</v>
      </c>
      <c r="B10" s="1" t="s">
        <v>454</v>
      </c>
      <c r="C10" s="30">
        <v>1</v>
      </c>
      <c r="D10" s="31">
        <f>COUNTIF(Assessment!F32:F32,"Compliant")</f>
        <v>0</v>
      </c>
      <c r="E10" s="32">
        <f>COUNTIF(Assessment!F32:F32,"Partially Compliant")</f>
        <v>0</v>
      </c>
      <c r="F10" s="33">
        <f>COUNTIF(Assessment!F32:F32,"Non-Compliant")</f>
        <v>0</v>
      </c>
      <c r="G10" s="30">
        <f>COUNTIF(Assessment!F32:F32,"Not Applicable")</f>
        <v>0</v>
      </c>
      <c r="H10" s="34">
        <f t="shared" si="0"/>
        <v>0</v>
      </c>
    </row>
    <row r="11" spans="1:8" x14ac:dyDescent="0.3">
      <c r="A11" s="19" t="s">
        <v>455</v>
      </c>
      <c r="B11" s="35" t="s">
        <v>456</v>
      </c>
      <c r="C11" s="36">
        <v>3</v>
      </c>
      <c r="D11" s="16">
        <f>COUNTIF(Assessment!F34:F36,"Compliant")</f>
        <v>0</v>
      </c>
      <c r="E11" s="17">
        <f>COUNTIF(Assessment!F34:F36,"Partially Compliant")</f>
        <v>0</v>
      </c>
      <c r="F11" s="18">
        <f>COUNTIF(Assessment!F34:F36,"Non-Compliant")</f>
        <v>0</v>
      </c>
      <c r="G11" s="36">
        <f>COUNTIF(Assessment!F34:F36,"Not Applicable")</f>
        <v>0</v>
      </c>
      <c r="H11" s="12">
        <f t="shared" si="0"/>
        <v>0</v>
      </c>
    </row>
    <row r="12" spans="1:8" x14ac:dyDescent="0.3">
      <c r="A12" s="29" t="s">
        <v>457</v>
      </c>
      <c r="B12" s="1" t="s">
        <v>458</v>
      </c>
      <c r="C12" s="30">
        <v>6</v>
      </c>
      <c r="D12" s="31">
        <f>COUNTIF(Assessment!F38:F43,"Compliant")</f>
        <v>0</v>
      </c>
      <c r="E12" s="32">
        <f>COUNTIF(Assessment!F38:F43,"Partially Compliant")</f>
        <v>0</v>
      </c>
      <c r="F12" s="33">
        <f>COUNTIF(Assessment!F38:F43,"Non-Compliant")</f>
        <v>0</v>
      </c>
      <c r="G12" s="30">
        <f>COUNTIF(Assessment!F38:F43,"Not Applicable")</f>
        <v>0</v>
      </c>
      <c r="H12" s="34">
        <f t="shared" si="0"/>
        <v>0</v>
      </c>
    </row>
    <row r="13" spans="1:8" x14ac:dyDescent="0.3">
      <c r="A13" s="19" t="s">
        <v>459</v>
      </c>
      <c r="B13" s="35" t="s">
        <v>460</v>
      </c>
      <c r="C13" s="36">
        <v>5</v>
      </c>
      <c r="D13" s="16">
        <f>COUNTIF(Assessment!F45:F49,"Compliant")</f>
        <v>0</v>
      </c>
      <c r="E13" s="17">
        <f>COUNTIF(Assessment!F45:F49,"Partially Compliant")</f>
        <v>0</v>
      </c>
      <c r="F13" s="18">
        <f>COUNTIF(Assessment!F45:F49,"Non-Compliant")</f>
        <v>0</v>
      </c>
      <c r="G13" s="36">
        <f>COUNTIF(Assessment!F45:F49,"Not Applicable")</f>
        <v>0</v>
      </c>
      <c r="H13" s="12">
        <f t="shared" si="0"/>
        <v>0</v>
      </c>
    </row>
    <row r="14" spans="1:8" x14ac:dyDescent="0.3">
      <c r="A14" s="70" t="s">
        <v>461</v>
      </c>
      <c r="B14" s="70"/>
      <c r="C14" s="70"/>
      <c r="D14" s="70"/>
      <c r="E14" s="70"/>
      <c r="F14" s="70"/>
      <c r="G14" s="70"/>
      <c r="H14" s="70"/>
    </row>
    <row r="15" spans="1:8" x14ac:dyDescent="0.3">
      <c r="A15" s="19" t="s">
        <v>462</v>
      </c>
      <c r="B15" s="35" t="s">
        <v>463</v>
      </c>
      <c r="C15" s="36">
        <v>6</v>
      </c>
      <c r="D15" s="16">
        <f>COUNTIF(Assessment!F52:F57,"Compliant")</f>
        <v>0</v>
      </c>
      <c r="E15" s="17">
        <f>COUNTIF(Assessment!F52:F57,"Partially Compliant")</f>
        <v>0</v>
      </c>
      <c r="F15" s="18">
        <f>COUNTIF(Assessment!F52:F57,"Non-Compliant")</f>
        <v>0</v>
      </c>
      <c r="G15" s="36">
        <f>COUNTIF(Assessment!F52:F57,"Not Applicable")</f>
        <v>0</v>
      </c>
      <c r="H15" s="12">
        <f t="shared" ref="H15:H29" si="1">IF((D15+E15+F15)&gt;0,D15/(D15+E15+F15),0)</f>
        <v>0</v>
      </c>
    </row>
    <row r="16" spans="1:8" x14ac:dyDescent="0.3">
      <c r="A16" s="29" t="s">
        <v>464</v>
      </c>
      <c r="B16" s="1" t="s">
        <v>465</v>
      </c>
      <c r="C16" s="30">
        <v>4</v>
      </c>
      <c r="D16" s="31">
        <f>COUNTIF(Assessment!F59:F62,"Compliant")</f>
        <v>0</v>
      </c>
      <c r="E16" s="32">
        <f>COUNTIF(Assessment!F59:F62,"Partially Compliant")</f>
        <v>0</v>
      </c>
      <c r="F16" s="33">
        <f>COUNTIF(Assessment!F59:F62,"Non-Compliant")</f>
        <v>0</v>
      </c>
      <c r="G16" s="30">
        <f>COUNTIF(Assessment!F59:F62,"Not Applicable")</f>
        <v>0</v>
      </c>
      <c r="H16" s="34">
        <f t="shared" si="1"/>
        <v>0</v>
      </c>
    </row>
    <row r="17" spans="1:8" x14ac:dyDescent="0.3">
      <c r="A17" s="19" t="s">
        <v>466</v>
      </c>
      <c r="B17" s="35" t="s">
        <v>467</v>
      </c>
      <c r="C17" s="36">
        <v>4</v>
      </c>
      <c r="D17" s="16">
        <f>COUNTIF(Assessment!F64:F67,"Compliant")</f>
        <v>0</v>
      </c>
      <c r="E17" s="17">
        <f>COUNTIF(Assessment!F64:F67,"Partially Compliant")</f>
        <v>0</v>
      </c>
      <c r="F17" s="18">
        <f>COUNTIF(Assessment!F64:F67,"Non-Compliant")</f>
        <v>0</v>
      </c>
      <c r="G17" s="36">
        <f>COUNTIF(Assessment!F64:F67,"Not Applicable")</f>
        <v>0</v>
      </c>
      <c r="H17" s="12">
        <f t="shared" si="1"/>
        <v>0</v>
      </c>
    </row>
    <row r="18" spans="1:8" x14ac:dyDescent="0.3">
      <c r="A18" s="29" t="s">
        <v>468</v>
      </c>
      <c r="B18" s="1" t="s">
        <v>469</v>
      </c>
      <c r="C18" s="30">
        <v>4</v>
      </c>
      <c r="D18" s="31">
        <f>COUNTIF(Assessment!F69:F72,"Compliant")</f>
        <v>0</v>
      </c>
      <c r="E18" s="32">
        <f>COUNTIF(Assessment!F69:F72,"Partially Compliant")</f>
        <v>0</v>
      </c>
      <c r="F18" s="33">
        <f>COUNTIF(Assessment!F69:F72,"Non-Compliant")</f>
        <v>0</v>
      </c>
      <c r="G18" s="30">
        <f>COUNTIF(Assessment!F69:F72,"Not Applicable")</f>
        <v>0</v>
      </c>
      <c r="H18" s="34">
        <f t="shared" si="1"/>
        <v>0</v>
      </c>
    </row>
    <row r="19" spans="1:8" x14ac:dyDescent="0.3">
      <c r="A19" s="19" t="s">
        <v>470</v>
      </c>
      <c r="B19" s="35" t="s">
        <v>471</v>
      </c>
      <c r="C19" s="36">
        <v>4</v>
      </c>
      <c r="D19" s="16">
        <f>COUNTIF(Assessment!F74:F77,"Compliant")</f>
        <v>0</v>
      </c>
      <c r="E19" s="17">
        <f>COUNTIF(Assessment!F74:F77,"Partially Compliant")</f>
        <v>0</v>
      </c>
      <c r="F19" s="18">
        <f>COUNTIF(Assessment!F74:F77,"Non-Compliant")</f>
        <v>0</v>
      </c>
      <c r="G19" s="36">
        <f>COUNTIF(Assessment!F74:F77,"Not Applicable")</f>
        <v>0</v>
      </c>
      <c r="H19" s="12">
        <f t="shared" si="1"/>
        <v>0</v>
      </c>
    </row>
    <row r="20" spans="1:8" x14ac:dyDescent="0.3">
      <c r="A20" s="29" t="s">
        <v>472</v>
      </c>
      <c r="B20" s="1" t="s">
        <v>473</v>
      </c>
      <c r="C20" s="30">
        <v>4</v>
      </c>
      <c r="D20" s="31">
        <f>COUNTIF(Assessment!F79:F82,"Compliant")</f>
        <v>0</v>
      </c>
      <c r="E20" s="32">
        <f>COUNTIF(Assessment!F79:F82,"Partially Compliant")</f>
        <v>0</v>
      </c>
      <c r="F20" s="33">
        <f>COUNTIF(Assessment!F79:F82,"Non-Compliant")</f>
        <v>0</v>
      </c>
      <c r="G20" s="30">
        <f>COUNTIF(Assessment!F79:F82,"Not Applicable")</f>
        <v>0</v>
      </c>
      <c r="H20" s="34">
        <f t="shared" si="1"/>
        <v>0</v>
      </c>
    </row>
    <row r="21" spans="1:8" x14ac:dyDescent="0.3">
      <c r="A21" s="19" t="s">
        <v>474</v>
      </c>
      <c r="B21" s="35" t="s">
        <v>475</v>
      </c>
      <c r="C21" s="36">
        <v>3</v>
      </c>
      <c r="D21" s="16">
        <f>COUNTIF(Assessment!F84:F86,"Compliant")</f>
        <v>0</v>
      </c>
      <c r="E21" s="17">
        <f>COUNTIF(Assessment!F84:F86,"Partially Compliant")</f>
        <v>0</v>
      </c>
      <c r="F21" s="18">
        <f>COUNTIF(Assessment!F84:F86,"Non-Compliant")</f>
        <v>0</v>
      </c>
      <c r="G21" s="36">
        <f>COUNTIF(Assessment!F84:F86,"Not Applicable")</f>
        <v>0</v>
      </c>
      <c r="H21" s="12">
        <f t="shared" si="1"/>
        <v>0</v>
      </c>
    </row>
    <row r="22" spans="1:8" x14ac:dyDescent="0.3">
      <c r="A22" s="29" t="s">
        <v>476</v>
      </c>
      <c r="B22" s="1" t="s">
        <v>477</v>
      </c>
      <c r="C22" s="30">
        <v>4</v>
      </c>
      <c r="D22" s="31">
        <f>COUNTIF(Assessment!F88:F91,"Compliant")</f>
        <v>0</v>
      </c>
      <c r="E22" s="32">
        <f>COUNTIF(Assessment!F88:F91,"Partially Compliant")</f>
        <v>0</v>
      </c>
      <c r="F22" s="33">
        <f>COUNTIF(Assessment!F88:F91,"Non-Compliant")</f>
        <v>0</v>
      </c>
      <c r="G22" s="30">
        <f>COUNTIF(Assessment!F88:F91,"Not Applicable")</f>
        <v>0</v>
      </c>
      <c r="H22" s="34">
        <f t="shared" si="1"/>
        <v>0</v>
      </c>
    </row>
    <row r="23" spans="1:8" x14ac:dyDescent="0.3">
      <c r="A23" s="19" t="s">
        <v>478</v>
      </c>
      <c r="B23" s="35" t="s">
        <v>479</v>
      </c>
      <c r="C23" s="36">
        <v>4</v>
      </c>
      <c r="D23" s="16">
        <f>COUNTIF(Assessment!F93:F96,"Compliant")</f>
        <v>0</v>
      </c>
      <c r="E23" s="17">
        <f>COUNTIF(Assessment!F93:F96,"Partially Compliant")</f>
        <v>0</v>
      </c>
      <c r="F23" s="18">
        <f>COUNTIF(Assessment!F93:F96,"Non-Compliant")</f>
        <v>0</v>
      </c>
      <c r="G23" s="36">
        <f>COUNTIF(Assessment!F93:F96,"Not Applicable")</f>
        <v>0</v>
      </c>
      <c r="H23" s="12">
        <f t="shared" si="1"/>
        <v>0</v>
      </c>
    </row>
    <row r="24" spans="1:8" x14ac:dyDescent="0.3">
      <c r="A24" s="29" t="s">
        <v>480</v>
      </c>
      <c r="B24" s="1" t="s">
        <v>481</v>
      </c>
      <c r="C24" s="30">
        <v>4</v>
      </c>
      <c r="D24" s="31">
        <f>COUNTIF(Assessment!F98:F101,"Compliant")</f>
        <v>0</v>
      </c>
      <c r="E24" s="32">
        <f>COUNTIF(Assessment!F98:F101,"Partially Compliant")</f>
        <v>0</v>
      </c>
      <c r="F24" s="33">
        <f>COUNTIF(Assessment!F98:F101,"Non-Compliant")</f>
        <v>0</v>
      </c>
      <c r="G24" s="30">
        <f>COUNTIF(Assessment!F98:F101,"Not Applicable")</f>
        <v>0</v>
      </c>
      <c r="H24" s="34">
        <f t="shared" si="1"/>
        <v>0</v>
      </c>
    </row>
    <row r="25" spans="1:8" x14ac:dyDescent="0.3">
      <c r="A25" s="19" t="s">
        <v>482</v>
      </c>
      <c r="B25" s="35" t="s">
        <v>483</v>
      </c>
      <c r="C25" s="36">
        <v>4</v>
      </c>
      <c r="D25" s="16">
        <f>COUNTIF(Assessment!F103:F106,"Compliant")</f>
        <v>0</v>
      </c>
      <c r="E25" s="17">
        <f>COUNTIF(Assessment!F103:F106,"Partially Compliant")</f>
        <v>0</v>
      </c>
      <c r="F25" s="18">
        <f>COUNTIF(Assessment!F103:F106,"Non-Compliant")</f>
        <v>0</v>
      </c>
      <c r="G25" s="36">
        <f>COUNTIF(Assessment!F103:F106,"Not Applicable")</f>
        <v>0</v>
      </c>
      <c r="H25" s="12">
        <f t="shared" si="1"/>
        <v>0</v>
      </c>
    </row>
    <row r="26" spans="1:8" x14ac:dyDescent="0.3">
      <c r="A26" s="29" t="s">
        <v>484</v>
      </c>
      <c r="B26" s="1" t="s">
        <v>485</v>
      </c>
      <c r="C26" s="30">
        <v>4</v>
      </c>
      <c r="D26" s="31">
        <f>COUNTIF(Assessment!F108:F111,"Compliant")</f>
        <v>0</v>
      </c>
      <c r="E26" s="32">
        <f>COUNTIF(Assessment!F108:F111,"Partially Compliant")</f>
        <v>0</v>
      </c>
      <c r="F26" s="33">
        <f>COUNTIF(Assessment!F108:F111,"Non-Compliant")</f>
        <v>0</v>
      </c>
      <c r="G26" s="30">
        <f>COUNTIF(Assessment!F108:F111,"Not Applicable")</f>
        <v>0</v>
      </c>
      <c r="H26" s="34">
        <f t="shared" si="1"/>
        <v>0</v>
      </c>
    </row>
    <row r="27" spans="1:8" x14ac:dyDescent="0.3">
      <c r="A27" s="19" t="s">
        <v>486</v>
      </c>
      <c r="B27" s="35" t="s">
        <v>487</v>
      </c>
      <c r="C27" s="36">
        <v>4</v>
      </c>
      <c r="D27" s="16">
        <f>COUNTIF(Assessment!F113:F116,"Compliant")</f>
        <v>0</v>
      </c>
      <c r="E27" s="17">
        <f>COUNTIF(Assessment!F113:F116,"Partially Compliant")</f>
        <v>0</v>
      </c>
      <c r="F27" s="18">
        <f>COUNTIF(Assessment!F113:F116,"Non-Compliant")</f>
        <v>0</v>
      </c>
      <c r="G27" s="36">
        <f>COUNTIF(Assessment!F113:F116,"Not Applicable")</f>
        <v>0</v>
      </c>
      <c r="H27" s="12">
        <f t="shared" si="1"/>
        <v>0</v>
      </c>
    </row>
    <row r="28" spans="1:8" x14ac:dyDescent="0.3">
      <c r="A28" s="29" t="s">
        <v>488</v>
      </c>
      <c r="B28" s="1" t="s">
        <v>489</v>
      </c>
      <c r="C28" s="30">
        <v>4</v>
      </c>
      <c r="D28" s="31">
        <f>COUNTIF(Assessment!F118:F121,"Compliant")</f>
        <v>0</v>
      </c>
      <c r="E28" s="32">
        <f>COUNTIF(Assessment!F118:F121,"Partially Compliant")</f>
        <v>0</v>
      </c>
      <c r="F28" s="33">
        <f>COUNTIF(Assessment!F118:F121,"Non-Compliant")</f>
        <v>0</v>
      </c>
      <c r="G28" s="30">
        <f>COUNTIF(Assessment!F118:F121,"Not Applicable")</f>
        <v>0</v>
      </c>
      <c r="H28" s="34">
        <f t="shared" si="1"/>
        <v>0</v>
      </c>
    </row>
    <row r="29" spans="1:8" x14ac:dyDescent="0.3">
      <c r="A29" s="19" t="s">
        <v>490</v>
      </c>
      <c r="B29" s="35" t="s">
        <v>491</v>
      </c>
      <c r="C29" s="36">
        <v>4</v>
      </c>
      <c r="D29" s="16">
        <f>COUNTIF(Assessment!F123:F126,"Compliant")</f>
        <v>0</v>
      </c>
      <c r="E29" s="17">
        <f>COUNTIF(Assessment!F123:F126,"Partially Compliant")</f>
        <v>0</v>
      </c>
      <c r="F29" s="18">
        <f>COUNTIF(Assessment!F123:F126,"Non-Compliant")</f>
        <v>0</v>
      </c>
      <c r="G29" s="36">
        <f>COUNTIF(Assessment!F123:F126,"Not Applicable")</f>
        <v>0</v>
      </c>
      <c r="H29" s="12">
        <f t="shared" si="1"/>
        <v>0</v>
      </c>
    </row>
    <row r="30" spans="1:8" x14ac:dyDescent="0.3">
      <c r="A30" s="71" t="s">
        <v>492</v>
      </c>
      <c r="B30" s="71"/>
      <c r="C30" s="71"/>
      <c r="D30" s="71"/>
      <c r="E30" s="71"/>
      <c r="F30" s="71"/>
      <c r="G30" s="71"/>
      <c r="H30" s="71"/>
    </row>
    <row r="31" spans="1:8" x14ac:dyDescent="0.3">
      <c r="A31" s="19" t="s">
        <v>493</v>
      </c>
      <c r="B31" s="35" t="s">
        <v>494</v>
      </c>
      <c r="C31" s="36">
        <v>4</v>
      </c>
      <c r="D31" s="16">
        <f>COUNTIF(Assessment!F129:F132,"Compliant")</f>
        <v>0</v>
      </c>
      <c r="E31" s="17">
        <f>COUNTIF(Assessment!F129:F132,"Partially Compliant")</f>
        <v>0</v>
      </c>
      <c r="F31" s="18">
        <f>COUNTIF(Assessment!F129:F132,"Non-Compliant")</f>
        <v>0</v>
      </c>
      <c r="G31" s="36">
        <f>COUNTIF(Assessment!F129:F132,"Not Applicable")</f>
        <v>0</v>
      </c>
      <c r="H31" s="12">
        <f>IF((D31+E31+F31)&gt;0,D31/(D31+E31+F31),0)</f>
        <v>0</v>
      </c>
    </row>
    <row r="32" spans="1:8" x14ac:dyDescent="0.3">
      <c r="A32" s="72" t="s">
        <v>495</v>
      </c>
      <c r="B32" s="72"/>
      <c r="C32" s="72"/>
      <c r="D32" s="72"/>
      <c r="E32" s="72"/>
      <c r="F32" s="72"/>
      <c r="G32" s="72"/>
      <c r="H32" s="72"/>
    </row>
    <row r="33" spans="1:8" x14ac:dyDescent="0.3">
      <c r="A33" s="19" t="s">
        <v>496</v>
      </c>
      <c r="B33" s="35" t="s">
        <v>497</v>
      </c>
      <c r="C33" s="36">
        <v>4</v>
      </c>
      <c r="D33" s="16">
        <f>COUNTIF(Assessment!F135:F138,"Compliant")</f>
        <v>0</v>
      </c>
      <c r="E33" s="17">
        <f>COUNTIF(Assessment!F135:F138,"Partially Compliant")</f>
        <v>0</v>
      </c>
      <c r="F33" s="18">
        <f>COUNTIF(Assessment!F135:F138,"Non-Compliant")</f>
        <v>0</v>
      </c>
      <c r="G33" s="36">
        <f>COUNTIF(Assessment!F135:F138,"Not Applicable")</f>
        <v>0</v>
      </c>
      <c r="H33" s="12">
        <f>IF((D33+E33+F33)&gt;0,D33/(D33+E33+F33),0)</f>
        <v>0</v>
      </c>
    </row>
    <row r="34" spans="1:8" x14ac:dyDescent="0.3">
      <c r="A34" s="29" t="s">
        <v>498</v>
      </c>
      <c r="B34" s="1" t="s">
        <v>499</v>
      </c>
      <c r="C34" s="30">
        <v>4</v>
      </c>
      <c r="D34" s="31">
        <f>COUNTIF(Assessment!F140:F143,"Compliant")</f>
        <v>0</v>
      </c>
      <c r="E34" s="32">
        <f>COUNTIF(Assessment!F140:F143,"Partially Compliant")</f>
        <v>0</v>
      </c>
      <c r="F34" s="33">
        <f>COUNTIF(Assessment!F140:F143,"Non-Compliant")</f>
        <v>0</v>
      </c>
      <c r="G34" s="30">
        <f>COUNTIF(Assessment!F140:F143,"Not Applicable")</f>
        <v>0</v>
      </c>
      <c r="H34" s="34">
        <f>IF((D34+E34+F34)&gt;0,D34/(D34+E34+F34),0)</f>
        <v>0</v>
      </c>
    </row>
  </sheetData>
  <mergeCells count="5">
    <mergeCell ref="A1:H1"/>
    <mergeCell ref="A3:H3"/>
    <mergeCell ref="A14:H14"/>
    <mergeCell ref="A30:H30"/>
    <mergeCell ref="A32:H3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A3AF"/>
  </sheetPr>
  <dimension ref="B2:B107"/>
  <sheetViews>
    <sheetView zoomScaleNormal="100" workbookViewId="0"/>
  </sheetViews>
  <sheetFormatPr defaultColWidth="8.6640625" defaultRowHeight="14.4" x14ac:dyDescent="0.3"/>
  <cols>
    <col min="1" max="1" width="5" customWidth="1"/>
    <col min="2" max="2" width="100" customWidth="1"/>
  </cols>
  <sheetData>
    <row r="2" spans="2:2" ht="17.399999999999999" x14ac:dyDescent="0.3">
      <c r="B2" s="37" t="s">
        <v>500</v>
      </c>
    </row>
    <row r="4" spans="2:2" x14ac:dyDescent="0.3">
      <c r="B4" s="38"/>
    </row>
    <row r="5" spans="2:2" x14ac:dyDescent="0.3">
      <c r="B5" s="38" t="s">
        <v>501</v>
      </c>
    </row>
    <row r="6" spans="2:2" x14ac:dyDescent="0.3">
      <c r="B6" s="38" t="s">
        <v>502</v>
      </c>
    </row>
    <row r="7" spans="2:2" x14ac:dyDescent="0.3">
      <c r="B7" s="38"/>
    </row>
    <row r="8" spans="2:2" x14ac:dyDescent="0.3">
      <c r="B8" s="13" t="s">
        <v>503</v>
      </c>
    </row>
    <row r="9" spans="2:2" x14ac:dyDescent="0.3">
      <c r="B9" s="39" t="s">
        <v>504</v>
      </c>
    </row>
    <row r="10" spans="2:2" x14ac:dyDescent="0.3">
      <c r="B10" s="38"/>
    </row>
    <row r="11" spans="2:2" x14ac:dyDescent="0.3">
      <c r="B11" s="13" t="s">
        <v>505</v>
      </c>
    </row>
    <row r="12" spans="2:2" x14ac:dyDescent="0.3">
      <c r="B12" s="39" t="s">
        <v>506</v>
      </c>
    </row>
    <row r="13" spans="2:2" x14ac:dyDescent="0.3">
      <c r="B13" s="38"/>
    </row>
    <row r="14" spans="2:2" x14ac:dyDescent="0.3">
      <c r="B14" s="13" t="s">
        <v>507</v>
      </c>
    </row>
    <row r="15" spans="2:2" x14ac:dyDescent="0.3">
      <c r="B15" s="39" t="s">
        <v>508</v>
      </c>
    </row>
    <row r="16" spans="2:2" x14ac:dyDescent="0.3">
      <c r="B16" s="39" t="s">
        <v>509</v>
      </c>
    </row>
    <row r="17" spans="2:2" x14ac:dyDescent="0.3">
      <c r="B17" s="38"/>
    </row>
    <row r="18" spans="2:2" x14ac:dyDescent="0.3">
      <c r="B18" s="13" t="s">
        <v>510</v>
      </c>
    </row>
    <row r="19" spans="2:2" x14ac:dyDescent="0.3">
      <c r="B19" s="39" t="s">
        <v>511</v>
      </c>
    </row>
    <row r="20" spans="2:2" x14ac:dyDescent="0.3">
      <c r="B20" s="38"/>
    </row>
    <row r="21" spans="2:2" x14ac:dyDescent="0.3">
      <c r="B21" s="13" t="s">
        <v>512</v>
      </c>
    </row>
    <row r="22" spans="2:2" x14ac:dyDescent="0.3">
      <c r="B22" s="39" t="s">
        <v>513</v>
      </c>
    </row>
    <row r="23" spans="2:2" x14ac:dyDescent="0.3">
      <c r="B23" s="38"/>
    </row>
    <row r="24" spans="2:2" x14ac:dyDescent="0.3">
      <c r="B24" s="13" t="s">
        <v>514</v>
      </c>
    </row>
    <row r="25" spans="2:2" x14ac:dyDescent="0.3">
      <c r="B25" s="39" t="s">
        <v>515</v>
      </c>
    </row>
    <row r="26" spans="2:2" x14ac:dyDescent="0.3">
      <c r="B26" s="39" t="s">
        <v>516</v>
      </c>
    </row>
    <row r="27" spans="2:2" x14ac:dyDescent="0.3">
      <c r="B27" s="39" t="s">
        <v>517</v>
      </c>
    </row>
    <row r="28" spans="2:2" x14ac:dyDescent="0.3">
      <c r="B28" s="38"/>
    </row>
    <row r="29" spans="2:2" x14ac:dyDescent="0.3">
      <c r="B29" s="38" t="s">
        <v>518</v>
      </c>
    </row>
    <row r="31" spans="2:2" x14ac:dyDescent="0.3">
      <c r="B31" s="40" t="s">
        <v>519</v>
      </c>
    </row>
    <row r="32" spans="2:2" x14ac:dyDescent="0.3">
      <c r="B32" s="40" t="s">
        <v>520</v>
      </c>
    </row>
    <row r="33" spans="2:2" x14ac:dyDescent="0.3">
      <c r="B33" s="40" t="s">
        <v>521</v>
      </c>
    </row>
    <row r="34" spans="2:2" x14ac:dyDescent="0.3">
      <c r="B34" s="40" t="s">
        <v>522</v>
      </c>
    </row>
    <row r="35" spans="2:2" x14ac:dyDescent="0.3">
      <c r="B35" s="40" t="s">
        <v>523</v>
      </c>
    </row>
    <row r="36" spans="2:2" x14ac:dyDescent="0.3">
      <c r="B36" s="40"/>
    </row>
    <row r="37" spans="2:2" x14ac:dyDescent="0.3">
      <c r="B37" s="40" t="s">
        <v>524</v>
      </c>
    </row>
    <row r="38" spans="2:2" x14ac:dyDescent="0.3">
      <c r="B38" s="40" t="s">
        <v>525</v>
      </c>
    </row>
    <row r="39" spans="2:2" x14ac:dyDescent="0.3">
      <c r="B39" s="40" t="s">
        <v>526</v>
      </c>
    </row>
    <row r="40" spans="2:2" x14ac:dyDescent="0.3">
      <c r="B40" s="40" t="s">
        <v>527</v>
      </c>
    </row>
    <row r="41" spans="2:2" x14ac:dyDescent="0.3">
      <c r="B41" s="40" t="s">
        <v>528</v>
      </c>
    </row>
    <row r="42" spans="2:2" x14ac:dyDescent="0.3">
      <c r="B42" s="40" t="s">
        <v>529</v>
      </c>
    </row>
    <row r="43" spans="2:2" x14ac:dyDescent="0.3">
      <c r="B43" s="40" t="s">
        <v>530</v>
      </c>
    </row>
    <row r="44" spans="2:2" x14ac:dyDescent="0.3">
      <c r="B44" s="40" t="s">
        <v>531</v>
      </c>
    </row>
    <row r="45" spans="2:2" x14ac:dyDescent="0.3">
      <c r="B45" s="40" t="s">
        <v>529</v>
      </c>
    </row>
    <row r="46" spans="2:2" x14ac:dyDescent="0.3">
      <c r="B46" s="40" t="s">
        <v>532</v>
      </c>
    </row>
    <row r="47" spans="2:2" x14ac:dyDescent="0.3">
      <c r="B47" s="40" t="s">
        <v>529</v>
      </c>
    </row>
    <row r="48" spans="2:2" x14ac:dyDescent="0.3">
      <c r="B48" s="40" t="s">
        <v>533</v>
      </c>
    </row>
    <row r="49" spans="2:2" x14ac:dyDescent="0.3">
      <c r="B49" s="40" t="s">
        <v>534</v>
      </c>
    </row>
    <row r="50" spans="2:2" x14ac:dyDescent="0.3">
      <c r="B50" s="40" t="s">
        <v>535</v>
      </c>
    </row>
    <row r="51" spans="2:2" x14ac:dyDescent="0.3">
      <c r="B51" s="40" t="s">
        <v>536</v>
      </c>
    </row>
    <row r="52" spans="2:2" x14ac:dyDescent="0.3">
      <c r="B52" s="40" t="s">
        <v>537</v>
      </c>
    </row>
    <row r="53" spans="2:2" x14ac:dyDescent="0.3">
      <c r="B53" s="40" t="s">
        <v>538</v>
      </c>
    </row>
    <row r="54" spans="2:2" x14ac:dyDescent="0.3">
      <c r="B54" s="40" t="s">
        <v>539</v>
      </c>
    </row>
    <row r="55" spans="2:2" x14ac:dyDescent="0.3">
      <c r="B55" s="40" t="s">
        <v>540</v>
      </c>
    </row>
    <row r="56" spans="2:2" x14ac:dyDescent="0.3">
      <c r="B56" s="40" t="s">
        <v>541</v>
      </c>
    </row>
    <row r="57" spans="2:2" x14ac:dyDescent="0.3">
      <c r="B57" s="40" t="s">
        <v>542</v>
      </c>
    </row>
    <row r="58" spans="2:2" x14ac:dyDescent="0.3">
      <c r="B58" s="40" t="s">
        <v>543</v>
      </c>
    </row>
    <row r="59" spans="2:2" x14ac:dyDescent="0.3">
      <c r="B59" s="40" t="s">
        <v>544</v>
      </c>
    </row>
    <row r="60" spans="2:2" x14ac:dyDescent="0.3">
      <c r="B60" s="40" t="s">
        <v>545</v>
      </c>
    </row>
    <row r="61" spans="2:2" x14ac:dyDescent="0.3">
      <c r="B61" s="40" t="s">
        <v>546</v>
      </c>
    </row>
    <row r="62" spans="2:2" x14ac:dyDescent="0.3">
      <c r="B62" s="40" t="s">
        <v>547</v>
      </c>
    </row>
    <row r="63" spans="2:2" x14ac:dyDescent="0.3">
      <c r="B63" s="40" t="s">
        <v>548</v>
      </c>
    </row>
    <row r="64" spans="2:2" x14ac:dyDescent="0.3">
      <c r="B64" s="40" t="s">
        <v>549</v>
      </c>
    </row>
    <row r="65" spans="2:2" x14ac:dyDescent="0.3">
      <c r="B65" s="40" t="s">
        <v>550</v>
      </c>
    </row>
    <row r="66" spans="2:2" x14ac:dyDescent="0.3">
      <c r="B66" s="40" t="s">
        <v>551</v>
      </c>
    </row>
    <row r="67" spans="2:2" x14ac:dyDescent="0.3">
      <c r="B67" s="40" t="s">
        <v>543</v>
      </c>
    </row>
    <row r="68" spans="2:2" x14ac:dyDescent="0.3">
      <c r="B68" s="40" t="s">
        <v>552</v>
      </c>
    </row>
    <row r="69" spans="2:2" x14ac:dyDescent="0.3">
      <c r="B69" s="40" t="s">
        <v>553</v>
      </c>
    </row>
    <row r="70" spans="2:2" x14ac:dyDescent="0.3">
      <c r="B70" s="40" t="s">
        <v>554</v>
      </c>
    </row>
    <row r="71" spans="2:2" x14ac:dyDescent="0.3">
      <c r="B71" s="40" t="s">
        <v>555</v>
      </c>
    </row>
    <row r="72" spans="2:2" x14ac:dyDescent="0.3">
      <c r="B72" s="40" t="s">
        <v>556</v>
      </c>
    </row>
    <row r="73" spans="2:2" x14ac:dyDescent="0.3">
      <c r="B73" s="40" t="s">
        <v>557</v>
      </c>
    </row>
    <row r="74" spans="2:2" x14ac:dyDescent="0.3">
      <c r="B74" s="40" t="s">
        <v>558</v>
      </c>
    </row>
    <row r="75" spans="2:2" x14ac:dyDescent="0.3">
      <c r="B75" s="40" t="s">
        <v>559</v>
      </c>
    </row>
    <row r="76" spans="2:2" x14ac:dyDescent="0.3">
      <c r="B76" s="40" t="s">
        <v>543</v>
      </c>
    </row>
    <row r="77" spans="2:2" x14ac:dyDescent="0.3">
      <c r="B77" s="40" t="s">
        <v>560</v>
      </c>
    </row>
    <row r="78" spans="2:2" x14ac:dyDescent="0.3">
      <c r="B78" s="40" t="s">
        <v>561</v>
      </c>
    </row>
    <row r="79" spans="2:2" x14ac:dyDescent="0.3">
      <c r="B79" s="40" t="s">
        <v>543</v>
      </c>
    </row>
    <row r="80" spans="2:2" x14ac:dyDescent="0.3">
      <c r="B80" s="40" t="s">
        <v>562</v>
      </c>
    </row>
    <row r="81" spans="2:2" x14ac:dyDescent="0.3">
      <c r="B81" s="40" t="s">
        <v>553</v>
      </c>
    </row>
    <row r="82" spans="2:2" x14ac:dyDescent="0.3">
      <c r="B82" s="40" t="s">
        <v>554</v>
      </c>
    </row>
    <row r="83" spans="2:2" x14ac:dyDescent="0.3">
      <c r="B83" s="40" t="s">
        <v>555</v>
      </c>
    </row>
    <row r="84" spans="2:2" x14ac:dyDescent="0.3">
      <c r="B84" s="40" t="s">
        <v>556</v>
      </c>
    </row>
    <row r="85" spans="2:2" x14ac:dyDescent="0.3">
      <c r="B85" s="40" t="s">
        <v>557</v>
      </c>
    </row>
    <row r="86" spans="2:2" x14ac:dyDescent="0.3">
      <c r="B86" s="40" t="s">
        <v>563</v>
      </c>
    </row>
    <row r="87" spans="2:2" x14ac:dyDescent="0.3">
      <c r="B87" s="40" t="s">
        <v>559</v>
      </c>
    </row>
    <row r="88" spans="2:2" x14ac:dyDescent="0.3">
      <c r="B88" s="40" t="s">
        <v>543</v>
      </c>
    </row>
    <row r="89" spans="2:2" x14ac:dyDescent="0.3">
      <c r="B89" s="40" t="s">
        <v>564</v>
      </c>
    </row>
    <row r="90" spans="2:2" x14ac:dyDescent="0.3">
      <c r="B90" s="40" t="s">
        <v>565</v>
      </c>
    </row>
    <row r="91" spans="2:2" x14ac:dyDescent="0.3">
      <c r="B91" s="40" t="s">
        <v>543</v>
      </c>
    </row>
    <row r="92" spans="2:2" x14ac:dyDescent="0.3">
      <c r="B92" s="40" t="s">
        <v>566</v>
      </c>
    </row>
    <row r="93" spans="2:2" x14ac:dyDescent="0.3">
      <c r="B93" s="40" t="s">
        <v>567</v>
      </c>
    </row>
    <row r="94" spans="2:2" x14ac:dyDescent="0.3">
      <c r="B94" s="40" t="s">
        <v>554</v>
      </c>
    </row>
    <row r="95" spans="2:2" x14ac:dyDescent="0.3">
      <c r="B95" s="40" t="s">
        <v>555</v>
      </c>
    </row>
    <row r="96" spans="2:2" x14ac:dyDescent="0.3">
      <c r="B96" s="40" t="s">
        <v>556</v>
      </c>
    </row>
    <row r="97" spans="2:2" x14ac:dyDescent="0.3">
      <c r="B97" s="40" t="s">
        <v>557</v>
      </c>
    </row>
    <row r="98" spans="2:2" x14ac:dyDescent="0.3">
      <c r="B98" s="40" t="s">
        <v>568</v>
      </c>
    </row>
    <row r="99" spans="2:2" x14ac:dyDescent="0.3">
      <c r="B99" s="40" t="s">
        <v>559</v>
      </c>
    </row>
    <row r="100" spans="2:2" x14ac:dyDescent="0.3">
      <c r="B100" s="40" t="s">
        <v>543</v>
      </c>
    </row>
    <row r="101" spans="2:2" x14ac:dyDescent="0.3">
      <c r="B101" s="40" t="s">
        <v>569</v>
      </c>
    </row>
    <row r="102" spans="2:2" x14ac:dyDescent="0.3">
      <c r="B102" s="40" t="s">
        <v>570</v>
      </c>
    </row>
    <row r="103" spans="2:2" x14ac:dyDescent="0.3">
      <c r="B103" s="40" t="s">
        <v>571</v>
      </c>
    </row>
    <row r="104" spans="2:2" x14ac:dyDescent="0.3">
      <c r="B104" s="40" t="s">
        <v>572</v>
      </c>
    </row>
    <row r="105" spans="2:2" x14ac:dyDescent="0.3">
      <c r="B105" s="40" t="s">
        <v>529</v>
      </c>
    </row>
    <row r="106" spans="2:2" x14ac:dyDescent="0.3">
      <c r="B106" s="40" t="s">
        <v>573</v>
      </c>
    </row>
    <row r="107" spans="2:2" x14ac:dyDescent="0.3">
      <c r="B107" s="40" t="s">
        <v>574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Dashboard</vt:lpstr>
      <vt:lpstr>Assessment</vt:lpstr>
      <vt:lpstr>Gap Analysis</vt:lpstr>
      <vt:lpstr>Subdomain Summary</vt:lpstr>
      <vt:lpstr>VBA Macro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Mahdy</dc:creator>
  <dc:description/>
  <cp:lastModifiedBy>omar Elmahdy</cp:lastModifiedBy>
  <cp:revision>1</cp:revision>
  <dcterms:created xsi:type="dcterms:W3CDTF">2026-02-17T01:34:26Z</dcterms:created>
  <dcterms:modified xsi:type="dcterms:W3CDTF">2026-02-17T01:59:01Z</dcterms:modified>
  <dc:language>en-US</dc:language>
</cp:coreProperties>
</file>
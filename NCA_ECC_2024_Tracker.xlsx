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mar\Downloads\NCA ECC\"/>
    </mc:Choice>
  </mc:AlternateContent>
  <xr:revisionPtr revIDLastSave="0" documentId="13_ncr:1_{413C2810-BC89-4715-B0E1-0B8211DC1615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Dashboard" sheetId="1" r:id="rId1"/>
    <sheet name="Controls Tracker" sheetId="2" r:id="rId2"/>
    <sheet name="Charts" sheetId="3" r:id="rId3"/>
  </sheets>
  <definedNames>
    <definedName name="_xlnm._FilterDatabase" localSheetId="1" hidden="1">'Controls Tracker'!$A$2:$K$110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8" i="3" l="1"/>
  <c r="G8" i="3"/>
  <c r="F8" i="3"/>
  <c r="E8" i="3"/>
  <c r="B8" i="3"/>
  <c r="J7" i="3"/>
  <c r="G7" i="3"/>
  <c r="F7" i="3"/>
  <c r="E7" i="3"/>
  <c r="B7" i="3"/>
  <c r="J6" i="3"/>
  <c r="G6" i="3"/>
  <c r="F6" i="3"/>
  <c r="E6" i="3"/>
  <c r="B6" i="3"/>
  <c r="J5" i="3"/>
  <c r="G5" i="3"/>
  <c r="F5" i="3"/>
  <c r="E5" i="3"/>
  <c r="B5" i="3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G14" i="1" s="1"/>
  <c r="F10" i="1"/>
  <c r="F14" i="1" s="1"/>
  <c r="E10" i="1"/>
  <c r="E14" i="1" s="1"/>
  <c r="D10" i="1"/>
  <c r="D14" i="1" s="1"/>
  <c r="C10" i="1"/>
  <c r="C14" i="1" s="1"/>
  <c r="E6" i="1"/>
  <c r="D6" i="1"/>
  <c r="C6" i="1"/>
  <c r="B6" i="1"/>
  <c r="F6" i="1" s="1"/>
  <c r="H12" i="1" l="1"/>
  <c r="I12" i="1" s="1"/>
  <c r="H13" i="1"/>
  <c r="I13" i="1" s="1"/>
  <c r="H14" i="1"/>
  <c r="I14" i="1" s="1"/>
  <c r="H11" i="1"/>
  <c r="I11" i="1" s="1"/>
  <c r="H10" i="1"/>
  <c r="I10" i="1" s="1"/>
</calcChain>
</file>

<file path=xl/sharedStrings.xml><?xml version="1.0" encoding="utf-8"?>
<sst xmlns="http://schemas.openxmlformats.org/spreadsheetml/2006/main" count="818" uniqueCount="342">
  <si>
    <t>NCA ECC-2:2024 — Live Compliance Dashboard</t>
  </si>
  <si>
    <t>⚡ All values update automatically when you change statuses in the Controls Tracker sheet</t>
  </si>
  <si>
    <t>OVERALL COMPLIANCE SUMMARY</t>
  </si>
  <si>
    <t>Total Controls</t>
  </si>
  <si>
    <t>Implemented</t>
  </si>
  <si>
    <t>In Progress</t>
  </si>
  <si>
    <t>Not Started</t>
  </si>
  <si>
    <t>Not Applicable</t>
  </si>
  <si>
    <t>Compliance %</t>
  </si>
  <si>
    <t>COMPLIANCE BY DOMAIN</t>
  </si>
  <si>
    <t>Domain</t>
  </si>
  <si>
    <t>Domain Name</t>
  </si>
  <si>
    <t>Total</t>
  </si>
  <si>
    <t>N/A</t>
  </si>
  <si>
    <t>Gap %</t>
  </si>
  <si>
    <t>Domain 1</t>
  </si>
  <si>
    <t>Cybersecurity Governance</t>
  </si>
  <si>
    <t>Domain 2</t>
  </si>
  <si>
    <t>Cybersecurity Defense</t>
  </si>
  <si>
    <t>Domain 3</t>
  </si>
  <si>
    <t>Cybersecurity Resilience</t>
  </si>
  <si>
    <t>Domain 4</t>
  </si>
  <si>
    <t>Third-Party &amp; Cloud Computing CS</t>
  </si>
  <si>
    <t>TOTAL</t>
  </si>
  <si>
    <t>NCA ECC-2:2024 — Full Controls Register &amp; Compliance Tracker</t>
  </si>
  <si>
    <t>#</t>
  </si>
  <si>
    <t>Subdomain ID</t>
  </si>
  <si>
    <t>Subdomain</t>
  </si>
  <si>
    <t>Control ID</t>
  </si>
  <si>
    <t>Control Description</t>
  </si>
  <si>
    <t>Status</t>
  </si>
  <si>
    <t>Evidence / Notes</t>
  </si>
  <si>
    <t>Owner</t>
  </si>
  <si>
    <t>Target Date</t>
  </si>
  <si>
    <t>Evidence Guidance</t>
  </si>
  <si>
    <t>1-1</t>
  </si>
  <si>
    <t>Cybersecurity Strategy</t>
  </si>
  <si>
    <t>1-1-1</t>
  </si>
  <si>
    <t>The cybersecurity strategy shall be identified, documented, and approved, supported by the Authorized Official.</t>
  </si>
  <si>
    <t>Approved CS strategy document, strategy review meeting minutes, alignment matrix with NCA regulations</t>
  </si>
  <si>
    <t>1-1-2</t>
  </si>
  <si>
    <t>The entity shall execute an action plan to apply the cybersecurity strategy.</t>
  </si>
  <si>
    <t>1-1-3</t>
  </si>
  <si>
    <t>The cybersecurity strategy shall be reviewed at planned intervals.</t>
  </si>
  <si>
    <t>1-2</t>
  </si>
  <si>
    <t>Cybersecurity Management</t>
  </si>
  <si>
    <t>1-2-1</t>
  </si>
  <si>
    <t>A department for cybersecurity shall be established, independent from IT/Communications.</t>
  </si>
  <si>
    <t>CS department org chart, CISO appointment letter, committee charter/minutes, Saudi staffing records</t>
  </si>
  <si>
    <t>1-2-2</t>
  </si>
  <si>
    <t>All cybersecurity positions shall be filled with full-time qualified Saudi professionals.</t>
  </si>
  <si>
    <t>1-2-3</t>
  </si>
  <si>
    <t>A cybersecurity supervisory committee shall be established.</t>
  </si>
  <si>
    <t>1-3</t>
  </si>
  <si>
    <t>CS Policies and Procedures</t>
  </si>
  <si>
    <t>1-3-1</t>
  </si>
  <si>
    <t>Identify, document, and approve cybersecurity policies/procedures and communicate to relevant personnel.</t>
  </si>
  <si>
    <t>Approved CS policy set, technical security standards (firewall/DB/OS baselines), acknowledgment records</t>
  </si>
  <si>
    <t>1-3-2</t>
  </si>
  <si>
    <t>Ensure cybersecurity policies and procedures are implemented.</t>
  </si>
  <si>
    <t>1-3-3</t>
  </si>
  <si>
    <t>CS policies shall be supported by technical security standards.</t>
  </si>
  <si>
    <t>1-3-4</t>
  </si>
  <si>
    <t>Review and update CS policies at planned intervals. Document and approve changes.</t>
  </si>
  <si>
    <t>1-4</t>
  </si>
  <si>
    <t>CS Roles and Responsibilities</t>
  </si>
  <si>
    <t>1-4-1</t>
  </si>
  <si>
    <t>Identify, document, and approve governance structure, roles, and responsibilities for CS.</t>
  </si>
  <si>
    <t>RACI matrix, role descriptions, appointment letters, org structure chart</t>
  </si>
  <si>
    <t>1-4-2</t>
  </si>
  <si>
    <t>Review and update CS roles and responsibilities at planned intervals.</t>
  </si>
  <si>
    <t>1-5</t>
  </si>
  <si>
    <t>CS Risk Management</t>
  </si>
  <si>
    <t>1-5-1</t>
  </si>
  <si>
    <t>Identify, document, and approve CS risk management methodology and procedures.</t>
  </si>
  <si>
    <t>Risk register, risk assessment methodology, risk treatment plans, project risk assessment reports</t>
  </si>
  <si>
    <t>1-5-2</t>
  </si>
  <si>
    <t>Implement the CS risk management methodology and procedures.</t>
  </si>
  <si>
    <t>1-5-3</t>
  </si>
  <si>
    <t>Implement risk assessment at early stage of projects, before major changes, during third-party planning, before new releases.</t>
  </si>
  <si>
    <t>1-5-4</t>
  </si>
  <si>
    <t>Review and update risk management at planned intervals.</t>
  </si>
  <si>
    <t>1-6</t>
  </si>
  <si>
    <t>CS in IT Project Management</t>
  </si>
  <si>
    <t>1-6-1</t>
  </si>
  <si>
    <t>Include CS requirements in project management and change management procedures.</t>
  </si>
  <si>
    <t>CS requirements in SDLC, vuln scan reports pre-launch, secure coding standards, change management CS sign-off</t>
  </si>
  <si>
    <t>1-6-2</t>
  </si>
  <si>
    <t>Requirements: vulnerability assessment/remediation; secure configuration review before launches.</t>
  </si>
  <si>
    <t>1-6-3</t>
  </si>
  <si>
    <t>Software dev: secure coding, trusted sources, compliance testing, secure integration, hardening review.</t>
  </si>
  <si>
    <t>1-6-4</t>
  </si>
  <si>
    <t>Periodically review CS requirements for project management.</t>
  </si>
  <si>
    <t>1-7</t>
  </si>
  <si>
    <t>Compliance with CS Standards/Laws</t>
  </si>
  <si>
    <t>1-7-1</t>
  </si>
  <si>
    <t>Identify and comply with nationally approved international agreements including CS requirements.</t>
  </si>
  <si>
    <t>International agreement register, compliance mapping (SWIFT/PCI-DSS), gap analysis reports</t>
  </si>
  <si>
    <t>1-8</t>
  </si>
  <si>
    <t>Periodical CS Review and Audit</t>
  </si>
  <si>
    <t>1-8-1</t>
  </si>
  <si>
    <t>Periodically review implementation of cybersecurity controls.</t>
  </si>
  <si>
    <t>Internal CS review reports, independent audit reports per GAAS, corrective action plans</t>
  </si>
  <si>
    <t>1-8-2</t>
  </si>
  <si>
    <t>Review/audit CS controls by independent parties per GAAS.</t>
  </si>
  <si>
    <t>1-8-3</t>
  </si>
  <si>
    <t>Document and present audit results to supervisory committee and Authorized Official.</t>
  </si>
  <si>
    <t>1-9</t>
  </si>
  <si>
    <t>CS in Human Resources</t>
  </si>
  <si>
    <t>1-9-1</t>
  </si>
  <si>
    <t>Identify, document, and approve CS requirements for personnel.</t>
  </si>
  <si>
    <t>Employment contracts with CS/NDA clauses, background screening records, access revocation tickets</t>
  </si>
  <si>
    <t>1-9-2</t>
  </si>
  <si>
    <t>Implement CS requirements for personnel.</t>
  </si>
  <si>
    <t>1-9-3</t>
  </si>
  <si>
    <t>Pre-employment: CS responsibility/non-disclosure clauses; screening for CS and privileged positions.</t>
  </si>
  <si>
    <t>1-9-4</t>
  </si>
  <si>
    <t>During employment: CS awareness, compliance with CS policies and procedures.</t>
  </si>
  <si>
    <t>1-9-5</t>
  </si>
  <si>
    <t>Review and revoke personnel powers immediately upon employment end/termination.</t>
  </si>
  <si>
    <t>1-9-6</t>
  </si>
  <si>
    <t>Periodically review CS requirements for personnel.</t>
  </si>
  <si>
    <t>1-10</t>
  </si>
  <si>
    <t>CS Awareness and Training</t>
  </si>
  <si>
    <t>1-10-1</t>
  </si>
  <si>
    <t>Develop and approve a CS awareness program through multiple channels.</t>
  </si>
  <si>
    <t>Awareness program plan, training completion records, phishing simulation reports, CS certificates</t>
  </si>
  <si>
    <t>1-10-2</t>
  </si>
  <si>
    <t>Implement the approved CS awareness program.</t>
  </si>
  <si>
    <t>1-10-3</t>
  </si>
  <si>
    <t>Program covers: phishing, mobile device security, secure browsing, social media.</t>
  </si>
  <si>
    <t>1-10-4</t>
  </si>
  <si>
    <t>Specialized training for: CS dept, developers/IT staff, executives.</t>
  </si>
  <si>
    <t>1-10-5</t>
  </si>
  <si>
    <t>Periodically review CS awareness program implementation.</t>
  </si>
  <si>
    <t>2-1</t>
  </si>
  <si>
    <t>Asset Management</t>
  </si>
  <si>
    <t>2-1-1</t>
  </si>
  <si>
    <t>Identify, document, and approve CS requirements for managing IT assets.</t>
  </si>
  <si>
    <t>CMDB/asset inventory export, asset classification labels, acceptable use policy with acknowledgments</t>
  </si>
  <si>
    <t>2-1-2</t>
  </si>
  <si>
    <t>Implement CS requirements for managing IT assets.</t>
  </si>
  <si>
    <t>2-1-3</t>
  </si>
  <si>
    <t>Identify, document, approve, and communicate acceptable use policy for IT assets.</t>
  </si>
  <si>
    <t>2-1-4</t>
  </si>
  <si>
    <t>Implement the acceptable use policy for IT assets.</t>
  </si>
  <si>
    <t>2-1-5</t>
  </si>
  <si>
    <t>Classify, label, and handle IT assets per legislative and regulatory requirements.</t>
  </si>
  <si>
    <t>2-1-6</t>
  </si>
  <si>
    <t>Periodically review CS requirements for managing IT assets.</t>
  </si>
  <si>
    <t>2-2</t>
  </si>
  <si>
    <t>Identity and Access Management</t>
  </si>
  <si>
    <t>2-2-1</t>
  </si>
  <si>
    <t>Identify, document, and approve CS requirements for IAM.</t>
  </si>
  <si>
    <t>IAM policy, MFA config screenshots, PAM solution reports, access review logs</t>
  </si>
  <si>
    <t>2-2-2</t>
  </si>
  <si>
    <t>Implement CS requirements for IAM.</t>
  </si>
  <si>
    <t>2-2-3</t>
  </si>
  <si>
    <t>IAM: single-factor auth, MFA for remote/privileged, need-to-know/least privilege, PAM, periodic review.</t>
  </si>
  <si>
    <t>2-2-4</t>
  </si>
  <si>
    <t>Periodically review IAM requirements implementation.</t>
  </si>
  <si>
    <t>2-3</t>
  </si>
  <si>
    <t>IS &amp; Processing Facilities Protection</t>
  </si>
  <si>
    <t>2-3-1</t>
  </si>
  <si>
    <t>Identify, document, and approve CS requirements for IS protection.</t>
  </si>
  <si>
    <t>EDR/AV deployment reports, CIS hardening baselines, patch status, NTP config, USB GPO</t>
  </si>
  <si>
    <t>2-3-2</t>
  </si>
  <si>
    <t>Implement CS requirements for IS protection.</t>
  </si>
  <si>
    <t>2-3-3</t>
  </si>
  <si>
    <t>Requirements: virus/malware protection, storage media restrictions, patch management, clock sync.</t>
  </si>
  <si>
    <t>2-3-4</t>
  </si>
  <si>
    <t>Periodically review IS protection requirements.</t>
  </si>
  <si>
    <t>2-4</t>
  </si>
  <si>
    <t>Email Protection</t>
  </si>
  <si>
    <t>2-4-1</t>
  </si>
  <si>
    <t>Identify, document, and approve CS requirements for email protection.</t>
  </si>
  <si>
    <t>Email gateway config, phishing filter reports, SPF/DKIM/DMARC, backup, APT sandbox</t>
  </si>
  <si>
    <t>2-4-2</t>
  </si>
  <si>
    <t>Implement CS requirements for email protection.</t>
  </si>
  <si>
    <t>2-4-3</t>
  </si>
  <si>
    <t>Requirements: phishing/spam filtering, MFA, archiving/backup, APT protection, SPF/DKIM/DMARC.</t>
  </si>
  <si>
    <t>2-4-4</t>
  </si>
  <si>
    <t>Periodically review email protection requirements.</t>
  </si>
  <si>
    <t>2-5</t>
  </si>
  <si>
    <t>Network Security Management</t>
  </si>
  <si>
    <t>2-5-1</t>
  </si>
  <si>
    <t>Identify, document, and approve CS requirements for network security.</t>
  </si>
  <si>
    <t>Network diagrams, firewall rules, IPS reports, DNS config, DDoS records, wireless assessments</t>
  </si>
  <si>
    <t>2-5-2</t>
  </si>
  <si>
    <t>Implement CS requirements for network security.</t>
  </si>
  <si>
    <t>2-5-3</t>
  </si>
  <si>
    <t>Requirements: segmentation, prod/test isolation, secure browsing, wireless, IPS, DNS, APT, DDoS.</t>
  </si>
  <si>
    <t>2-5-4</t>
  </si>
  <si>
    <t>Periodically review network security requirements.</t>
  </si>
  <si>
    <t>2-6</t>
  </si>
  <si>
    <t>Mobile Devices Security</t>
  </si>
  <si>
    <t>2-6-1</t>
  </si>
  <si>
    <t>Identify, document, and approve CS requirements for mobile devices and BYOD.</t>
  </si>
  <si>
    <t>MDM enrollment reports, device encryption status, BYOD policy, remote wipe evidence</t>
  </si>
  <si>
    <t>2-6-2</t>
  </si>
  <si>
    <t>Implement CS requirements for mobile devices and BYOD.</t>
  </si>
  <si>
    <t>2-6-3</t>
  </si>
  <si>
    <t>Requirements: data separation/encryption, controlled use, data deletion, user awareness.</t>
  </si>
  <si>
    <t>2-6-4</t>
  </si>
  <si>
    <t>Periodically review mobile device security requirements.</t>
  </si>
  <si>
    <t>2-7</t>
  </si>
  <si>
    <t>Data and Information Protection</t>
  </si>
  <si>
    <t>2-7-1</t>
  </si>
  <si>
    <t>Identify, document, and approve CS requirements for data protection.</t>
  </si>
  <si>
    <t>Data classification policy (per NCA DCC), DLP tool reports, data handling procedures</t>
  </si>
  <si>
    <t>2-7-2</t>
  </si>
  <si>
    <t>Implement CS requirements for data protection based on classification level.</t>
  </si>
  <si>
    <t>2-7-3</t>
  </si>
  <si>
    <t>Periodically review data protection requirements.</t>
  </si>
  <si>
    <t>2-8</t>
  </si>
  <si>
    <t>Cryptography</t>
  </si>
  <si>
    <t>2-8-1</t>
  </si>
  <si>
    <t>Identify, document, and approve CS requirements for cryptography.</t>
  </si>
  <si>
    <t>Encryption standards (per NCA National Crypto Standards), key management, TLS inventory</t>
  </si>
  <si>
    <t>2-8-2</t>
  </si>
  <si>
    <t>Implement CS requirements for cryptography.</t>
  </si>
  <si>
    <t>2-8-3</t>
  </si>
  <si>
    <t>Requirements per National Cryptographic Standards: approved crypto systems, key management, encryption.</t>
  </si>
  <si>
    <t>2-8-4</t>
  </si>
  <si>
    <t>Periodically review cryptography requirements.</t>
  </si>
  <si>
    <t>2-9</t>
  </si>
  <si>
    <t>Backup and Recovery Management</t>
  </si>
  <si>
    <t>2-9-1</t>
  </si>
  <si>
    <t>Identify, document, and approve CS requirements for backup and recovery.</t>
  </si>
  <si>
    <t>Backup policy, backup job reports, recovery test results with RTO/RPO, offsite backup evidence</t>
  </si>
  <si>
    <t>2-9-2</t>
  </si>
  <si>
    <t>Implement CS requirements for backup and recovery.</t>
  </si>
  <si>
    <t>2-9-3</t>
  </si>
  <si>
    <t>Requirements: scope covering critical assets, quick recovery, periodic testing.</t>
  </si>
  <si>
    <t>2-9-4</t>
  </si>
  <si>
    <t>Periodically review backup and recovery requirements.</t>
  </si>
  <si>
    <t>2-10</t>
  </si>
  <si>
    <t>Vulnerability Management</t>
  </si>
  <si>
    <t>2-10-1</t>
  </si>
  <si>
    <t>Identify, document, and approve CS requirements for vulnerability management.</t>
  </si>
  <si>
    <t>Vuln scan reports (Qualys/Nessus), remediation dashboard, patch deployment, feed subscriptions</t>
  </si>
  <si>
    <t>2-10-2</t>
  </si>
  <si>
    <t>Implement CS requirements for vulnerability management.</t>
  </si>
  <si>
    <t>2-10-3</t>
  </si>
  <si>
    <t>Requirements: periodic assessment, severity classification, risk-based remediation, patch management.</t>
  </si>
  <si>
    <t>2-10-4</t>
  </si>
  <si>
    <t>Periodically review vulnerability management requirements.</t>
  </si>
  <si>
    <t>2-11</t>
  </si>
  <si>
    <t>Penetration Testing</t>
  </si>
  <si>
    <t>2-11-1</t>
  </si>
  <si>
    <t>Identify, document, and approve CS requirements for penetration testing.</t>
  </si>
  <si>
    <t>Pen test scope/RoE, pen test report, remediation evidence, retest validation</t>
  </si>
  <si>
    <t>2-11-2</t>
  </si>
  <si>
    <t>Implement CS requirements for penetration testing.</t>
  </si>
  <si>
    <t>2-11-3</t>
  </si>
  <si>
    <t>Scope: all external services (infrastructure, websites, web/mobile apps, email, remote access).</t>
  </si>
  <si>
    <t>2-11-4</t>
  </si>
  <si>
    <t>Periodically review penetration testing requirements.</t>
  </si>
  <si>
    <t>2-12</t>
  </si>
  <si>
    <t>CS Event Logs and Monitoring</t>
  </si>
  <si>
    <t>2-12-1</t>
  </si>
  <si>
    <t>Identify, document, and approve CS requirements for event logs and monitoring.</t>
  </si>
  <si>
    <t>SIEM scope, log source inventory, SOC dashboard, 12+ month retention, privileged logs</t>
  </si>
  <si>
    <t>2-12-2</t>
  </si>
  <si>
    <t>Implement CS requirements for event logs and monitoring.</t>
  </si>
  <si>
    <t>2-12-3</t>
  </si>
  <si>
    <t>Requirements: logs for critical assets, privileged access, SIEM, continuous monitoring, 12-month retention.</t>
  </si>
  <si>
    <t>2-12-4</t>
  </si>
  <si>
    <t>Periodically review event logs and monitoring requirements.</t>
  </si>
  <si>
    <t>2-13</t>
  </si>
  <si>
    <t>CS Incident and Threat Management</t>
  </si>
  <si>
    <t>2-13-1</t>
  </si>
  <si>
    <t>Identify, document, and approve requirements for incident and threat management.</t>
  </si>
  <si>
    <t>IR plan, classification matrix, NCA notification records, IoC sharing, post-mortem reports</t>
  </si>
  <si>
    <t>2-13-2</t>
  </si>
  <si>
    <t>Implement requirements for incident and threat management.</t>
  </si>
  <si>
    <t>2-13-3</t>
  </si>
  <si>
    <t>Requirements: response plans, classification, NCA reporting, IoC sharing, threat feeds.</t>
  </si>
  <si>
    <t>2-13-4</t>
  </si>
  <si>
    <t>Periodically review incident and threat management requirements.</t>
  </si>
  <si>
    <t>2-14</t>
  </si>
  <si>
    <t>Physical Security</t>
  </si>
  <si>
    <t>2-14-1</t>
  </si>
  <si>
    <t>Identify, document, and approve CS requirements for physical security.</t>
  </si>
  <si>
    <t>Physical access logs, CCTV retention policy, data center access lists, destruction certificates</t>
  </si>
  <si>
    <t>2-14-2</t>
  </si>
  <si>
    <t>Implement CS requirements for physical security.</t>
  </si>
  <si>
    <t>2-14-3</t>
  </si>
  <si>
    <t>Requirements: authorized access, CCTV, log protection, secure destruction, device security.</t>
  </si>
  <si>
    <t>2-14-4</t>
  </si>
  <si>
    <t>Periodically review physical security requirements.</t>
  </si>
  <si>
    <t>2-15</t>
  </si>
  <si>
    <t>Web Application Security</t>
  </si>
  <si>
    <t>2-15-1</t>
  </si>
  <si>
    <t>Identify, document, and approve CS requirements for web application protection.</t>
  </si>
  <si>
    <t>WAF config, multi-tier diagrams, HTTPS cert inventory, web app security test reports</t>
  </si>
  <si>
    <t>2-15-2</t>
  </si>
  <si>
    <t>Implement CS requirements for web application protection.</t>
  </si>
  <si>
    <t>2-15-3</t>
  </si>
  <si>
    <t>Requirements: WAF, multi-tier architecture, HTTPS, secure usage policy, authentication.</t>
  </si>
  <si>
    <t>2-15-4</t>
  </si>
  <si>
    <t>Periodically review web application security requirements.</t>
  </si>
  <si>
    <t>3-1</t>
  </si>
  <si>
    <t>CS Resilience Aspects of BCM</t>
  </si>
  <si>
    <t>3-1-1</t>
  </si>
  <si>
    <t>Identify, document, and approve CS requirements for BCM.</t>
  </si>
  <si>
    <t>BCP/DRP with CS requirements, CS continuity test results, tabletop exercises, DR site evidence</t>
  </si>
  <si>
    <t>3-1-2</t>
  </si>
  <si>
    <t>Implement CS requirements for BCM.</t>
  </si>
  <si>
    <t>3-1-3</t>
  </si>
  <si>
    <t>Requirements: continuity of CS systems, incident response plans for continuity, DR plans.</t>
  </si>
  <si>
    <t>3-1-4</t>
  </si>
  <si>
    <t>Periodically review CS requirements for BCM.</t>
  </si>
  <si>
    <t>4-1</t>
  </si>
  <si>
    <t>Third-Party Cybersecurity</t>
  </si>
  <si>
    <t>4-1-1</t>
  </si>
  <si>
    <t>Identify, document, and approve CS requirements for third-party contracts.</t>
  </si>
  <si>
    <t>Vendor CS assessments, contracts with NDA/CS clauses, SLA docs, vendor risk register</t>
  </si>
  <si>
    <t>4-1-2</t>
  </si>
  <si>
    <t>Include: non-disclosure, secure data removal, incident communication, CS obligations.</t>
  </si>
  <si>
    <t>4-1-3</t>
  </si>
  <si>
    <t>IT/CS outsourcing: risk assessment before signing, managed service centers in KSA.</t>
  </si>
  <si>
    <t>4-1-4</t>
  </si>
  <si>
    <t>Periodically review CS requirements for third parties.</t>
  </si>
  <si>
    <t>4-2</t>
  </si>
  <si>
    <t>Cloud Computing and Hosting CS</t>
  </si>
  <si>
    <t>4-2-1</t>
  </si>
  <si>
    <t>Identify, document, and approve CS requirements for cloud and hosting.</t>
  </si>
  <si>
    <t>Cloud CS policy, CSP security assessment, tenant isolation, data return clauses, CSP certs</t>
  </si>
  <si>
    <t>4-2-2</t>
  </si>
  <si>
    <t>Implement CS requirements for cloud and hosting.</t>
  </si>
  <si>
    <t>4-2-3</t>
  </si>
  <si>
    <t>Requirements: data protection per classification, data return, virtual environment separation.</t>
  </si>
  <si>
    <t>4-2-4</t>
  </si>
  <si>
    <t>Periodically review CS requirements for cloud and hosting.</t>
  </si>
  <si>
    <t>NCA ECC-2:2024 — Dynamic Compliance Charts</t>
  </si>
  <si>
    <t>⚡ Charts update automatically when you change control statuses in the Controls Tracker</t>
  </si>
  <si>
    <t>Count</t>
  </si>
  <si>
    <t>Governance</t>
  </si>
  <si>
    <t>Defense</t>
  </si>
  <si>
    <t>Resilience</t>
  </si>
  <si>
    <t>3rd Party &amp; 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</si>
</sst>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059669"/>
      <name val="Arial"/>
      <charset val="1"/>
    </font>
    <font>
      <b/>
      <sz val="12"/>
      <color rgb="FFFFFFFF"/>
      <name val="Arial"/>
      <charset val="1"/>
    </font>
    <font>
      <b/>
      <sz val="9"/>
      <color rgb="FF64748B"/>
      <name val="Arial"/>
      <charset val="1"/>
    </font>
    <font>
      <b/>
      <sz val="18"/>
      <color rgb="FF5EEAD4"/>
      <name val="Arial"/>
      <charset val="1"/>
    </font>
    <font>
      <b/>
      <sz val="18"/>
      <color rgb="FF34D399"/>
      <name val="Arial"/>
      <charset val="1"/>
    </font>
    <font>
      <b/>
      <sz val="18"/>
      <color rgb="FFFBBF24"/>
      <name val="Arial"/>
      <charset val="1"/>
    </font>
    <font>
      <b/>
      <sz val="18"/>
      <color rgb="FF94A3B8"/>
      <name val="Arial"/>
      <charset val="1"/>
    </font>
    <font>
      <b/>
      <sz val="18"/>
      <color rgb="FF6B7280"/>
      <name val="Arial"/>
      <charset val="1"/>
    </font>
    <font>
      <b/>
      <sz val="18"/>
      <color rgb="FF059669"/>
      <name val="Arial"/>
      <charset val="1"/>
    </font>
    <font>
      <b/>
      <sz val="11"/>
      <color rgb="FFFFFFFF"/>
      <name val="Arial"/>
      <charset val="1"/>
    </font>
    <font>
      <b/>
      <sz val="10"/>
      <color rgb="FF0F4C5C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sz val="11"/>
      <color rgb="FF059669"/>
      <name val="Arial"/>
      <charset val="1"/>
    </font>
    <font>
      <sz val="11"/>
      <color rgb="FFD97706"/>
      <name val="Arial"/>
      <charset val="1"/>
    </font>
    <font>
      <sz val="11"/>
      <color rgb="FF6B7280"/>
      <name val="Arial"/>
      <charset val="1"/>
    </font>
    <font>
      <sz val="11"/>
      <color rgb="FF9CA3AF"/>
      <name val="Arial"/>
      <charset val="1"/>
    </font>
    <font>
      <b/>
      <sz val="12"/>
      <color rgb="FF0F4C5C"/>
      <name val="Arial"/>
      <charset val="1"/>
    </font>
    <font>
      <b/>
      <sz val="12"/>
      <color rgb="FFEF4444"/>
      <name val="Arial"/>
      <charset val="1"/>
    </font>
    <font>
      <b/>
      <sz val="10"/>
      <color rgb="FF1A6B4A"/>
      <name val="Arial"/>
      <charset val="1"/>
    </font>
    <font>
      <b/>
      <sz val="12"/>
      <color rgb="FF1A6B4A"/>
      <name val="Arial"/>
      <charset val="1"/>
    </font>
    <font>
      <b/>
      <sz val="10"/>
      <color rgb="FF7B2D8E"/>
      <name val="Arial"/>
      <charset val="1"/>
    </font>
    <font>
      <b/>
      <sz val="12"/>
      <color rgb="FF7B2D8E"/>
      <name val="Arial"/>
      <charset val="1"/>
    </font>
    <font>
      <b/>
      <sz val="10"/>
      <color rgb="FFB84A1C"/>
      <name val="Arial"/>
      <charset val="1"/>
    </font>
    <font>
      <b/>
      <sz val="12"/>
      <color rgb="FFB84A1C"/>
      <name val="Arial"/>
      <charset val="1"/>
    </font>
    <font>
      <b/>
      <sz val="13"/>
      <color rgb="FF059669"/>
      <name val="Arial"/>
      <charset val="1"/>
    </font>
    <font>
      <b/>
      <sz val="13"/>
      <color rgb="FFEF4444"/>
      <name val="Arial"/>
      <charset val="1"/>
    </font>
    <font>
      <b/>
      <sz val="14"/>
      <color rgb="FFFFFFFF"/>
      <name val="Arial"/>
      <charset val="1"/>
    </font>
    <font>
      <b/>
      <sz val="10"/>
      <name val="Arial"/>
      <charset val="1"/>
    </font>
    <font>
      <i/>
      <sz val="9"/>
      <color rgb="FF475569"/>
      <name val="Arial"/>
      <charset val="1"/>
    </font>
    <font>
      <b/>
      <sz val="11"/>
      <name val="Cambria"/>
      <charset val="1"/>
    </font>
  </fonts>
  <fills count="9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334155"/>
        <bgColor rgb="FF475569"/>
      </patternFill>
    </fill>
    <fill>
      <patternFill patternType="solid">
        <fgColor rgb="FFF1F5F9"/>
        <bgColor rgb="FFF9F9F9"/>
      </patternFill>
    </fill>
    <fill>
      <patternFill patternType="solid">
        <fgColor rgb="FFF8FAFC"/>
        <bgColor rgb="FFF9F9F9"/>
      </patternFill>
    </fill>
    <fill>
      <patternFill patternType="solid">
        <fgColor rgb="FFFFFFFF"/>
        <bgColor rgb="FFF8FAFC"/>
      </patternFill>
    </fill>
    <fill>
      <patternFill patternType="solid">
        <fgColor rgb="FFE2E8F0"/>
        <bgColor rgb="FFF1F5F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9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9" fontId="10" fillId="6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9" fontId="19" fillId="6" borderId="1" xfId="0" applyNumberFormat="1" applyFont="1" applyFill="1" applyBorder="1" applyAlignment="1">
      <alignment horizontal="center" vertical="center"/>
    </xf>
    <xf numFmtId="9" fontId="20" fillId="6" borderId="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9" fontId="22" fillId="7" borderId="1" xfId="0" applyNumberFormat="1" applyFont="1" applyFill="1" applyBorder="1" applyAlignment="1">
      <alignment horizontal="center" vertical="center"/>
    </xf>
    <xf numFmtId="9" fontId="20" fillId="7" borderId="1" xfId="0" applyNumberFormat="1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9" fontId="24" fillId="6" borderId="1" xfId="0" applyNumberFormat="1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9" fontId="26" fillId="7" borderId="1" xfId="0" applyNumberFormat="1" applyFont="1" applyFill="1" applyBorder="1" applyAlignment="1">
      <alignment horizontal="center" vertical="center"/>
    </xf>
    <xf numFmtId="0" fontId="0" fillId="8" borderId="1" xfId="0" applyFill="1" applyBorder="1"/>
    <xf numFmtId="0" fontId="14" fillId="8" borderId="1" xfId="0" applyFont="1" applyFill="1" applyBorder="1"/>
    <xf numFmtId="0" fontId="14" fillId="8" borderId="1" xfId="0" applyFont="1" applyFill="1" applyBorder="1" applyAlignment="1">
      <alignment horizontal="center" vertical="center"/>
    </xf>
    <xf numFmtId="9" fontId="27" fillId="8" borderId="1" xfId="0" applyNumberFormat="1" applyFont="1" applyFill="1" applyBorder="1" applyAlignment="1">
      <alignment horizontal="center" vertical="center"/>
    </xf>
    <xf numFmtId="9" fontId="28" fillId="8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top" wrapText="1"/>
    </xf>
    <xf numFmtId="0" fontId="31" fillId="6" borderId="1" xfId="0" applyFont="1" applyFill="1" applyBorder="1" applyAlignment="1">
      <alignment horizontal="left" vertical="top" wrapText="1"/>
    </xf>
    <xf numFmtId="0" fontId="13" fillId="7" borderId="1" xfId="0" applyFont="1" applyFill="1" applyBorder="1" applyAlignment="1">
      <alignment horizontal="center" vertical="center"/>
    </xf>
    <xf numFmtId="0" fontId="30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top" wrapText="1"/>
    </xf>
    <xf numFmtId="0" fontId="31" fillId="7" borderId="1" xfId="0" applyFont="1" applyFill="1" applyBorder="1" applyAlignment="1">
      <alignment horizontal="left" vertical="top" wrapText="1"/>
    </xf>
    <xf numFmtId="0" fontId="32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4A"/>
      <rgbColor rgb="FF000080"/>
      <rgbColor rgb="FF808000"/>
      <rgbColor rgb="FF800080"/>
      <rgbColor rgb="FF0D9488"/>
      <rgbColor rgb="FFD9D9D9"/>
      <rgbColor rgb="FF878787"/>
      <rgbColor rgb="FF94A3B8"/>
      <rgbColor rgb="FF7B2D8E"/>
      <rgbColor rgb="FFF9F9F9"/>
      <rgbColor rgb="FFF1F5F9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E2E8F0"/>
      <rgbColor rgb="FFF8FAFC"/>
      <rgbColor rgb="FFFFFF99"/>
      <rgbColor rgb="FF5EEAD4"/>
      <rgbColor rgb="FFFF99CC"/>
      <rgbColor rgb="FFCC99FF"/>
      <rgbColor rgb="FFFFCC99"/>
      <rgbColor rgb="FF4F81BD"/>
      <rgbColor rgb="FF34D399"/>
      <rgbColor rgb="FF99CC00"/>
      <rgbColor rgb="FFFBBF24"/>
      <rgbColor rgb="FFFF9900"/>
      <rgbColor rgb="FFD97706"/>
      <rgbColor rgb="FF64748B"/>
      <rgbColor rgb="FF9CA3AF"/>
      <rgbColor rgb="FF0F4C5C"/>
      <rgbColor rgb="FF6B7280"/>
      <rgbColor rgb="FF0F172A"/>
      <rgbColor rgb="FF475569"/>
      <rgbColor rgb="FFB84A1C"/>
      <rgbColor rgb="FFEF4444"/>
      <rgbColor rgb="FF334155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Overall Compliance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34D39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C95E-4D95-87FC-514FF1AB6898}"/>
              </c:ext>
            </c:extLst>
          </c:dPt>
          <c:dPt>
            <c:idx val="1"/>
            <c:bubble3D val="0"/>
            <c:spPr>
              <a:solidFill>
                <a:srgbClr val="FBBF2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C95E-4D95-87FC-514FF1AB6898}"/>
              </c:ext>
            </c:extLst>
          </c:dPt>
          <c:dPt>
            <c:idx val="2"/>
            <c:bubble3D val="0"/>
            <c:spPr>
              <a:solidFill>
                <a:srgbClr val="94A3B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C95E-4D95-87FC-514FF1AB6898}"/>
              </c:ext>
            </c:extLst>
          </c:dPt>
          <c:dPt>
            <c:idx val="3"/>
            <c:bubble3D val="0"/>
            <c:spPr>
              <a:solidFill>
                <a:srgbClr val="6B728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C95E-4D95-87FC-514FF1AB689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C95E-4D95-87FC-514FF1AB689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C95E-4D95-87FC-514FF1AB689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C95E-4D95-87FC-514FF1AB689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C95E-4D95-87FC-514FF1AB68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Charts!$A$5:$A$8</c:f>
              <c:strCache>
                <c:ptCount val="4"/>
                <c:pt idx="0">
                  <c:v>Implemented</c:v>
                </c:pt>
                <c:pt idx="1">
                  <c:v>In Progress</c:v>
                </c:pt>
                <c:pt idx="2">
                  <c:v>Not Started</c:v>
                </c:pt>
                <c:pt idx="3">
                  <c:v>Not Applicable</c:v>
                </c:pt>
              </c:strCache>
            </c:strRef>
          </c:cat>
          <c:val>
            <c:numRef>
              <c:f>Charts!$B$5:$B$8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108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5E-4D95-87FC-514FF1AB6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Compliance by Domain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Charts!$E$4</c:f>
              <c:strCache>
                <c:ptCount val="1"/>
                <c:pt idx="0">
                  <c:v>Implemented</c:v>
                </c:pt>
              </c:strCache>
            </c:strRef>
          </c:tx>
          <c:spPr>
            <a:solidFill>
              <a:srgbClr val="34D39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Charts!$D$5:$D$8</c:f>
              <c:strCache>
                <c:ptCount val="4"/>
                <c:pt idx="0">
                  <c:v>Governance</c:v>
                </c:pt>
                <c:pt idx="1">
                  <c:v>Defense</c:v>
                </c:pt>
                <c:pt idx="2">
                  <c:v>Resilience</c:v>
                </c:pt>
                <c:pt idx="3">
                  <c:v>3rd Party &amp; Cloud</c:v>
                </c:pt>
              </c:strCache>
            </c:strRef>
          </c:cat>
          <c:val>
            <c:numRef>
              <c:f>Charts!$E$5:$E$8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4-43EC-9E02-04F23253CED4}"/>
            </c:ext>
          </c:extLst>
        </c:ser>
        <c:ser>
          <c:idx val="1"/>
          <c:order val="1"/>
          <c:tx>
            <c:strRef>
              <c:f>Charts!$F$4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rgbClr val="FBBF2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Charts!$D$5:$D$8</c:f>
              <c:strCache>
                <c:ptCount val="4"/>
                <c:pt idx="0">
                  <c:v>Governance</c:v>
                </c:pt>
                <c:pt idx="1">
                  <c:v>Defense</c:v>
                </c:pt>
                <c:pt idx="2">
                  <c:v>Resilience</c:v>
                </c:pt>
                <c:pt idx="3">
                  <c:v>3rd Party &amp; Cloud</c:v>
                </c:pt>
              </c:strCache>
            </c:strRef>
          </c:cat>
          <c:val>
            <c:numRef>
              <c:f>Charts!$F$5:$F$8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24-43EC-9E02-04F23253CED4}"/>
            </c:ext>
          </c:extLst>
        </c:ser>
        <c:ser>
          <c:idx val="2"/>
          <c:order val="2"/>
          <c:tx>
            <c:strRef>
              <c:f>Charts!$G$4</c:f>
              <c:strCache>
                <c:ptCount val="1"/>
                <c:pt idx="0">
                  <c:v>Not Started</c:v>
                </c:pt>
              </c:strCache>
            </c:strRef>
          </c:tx>
          <c:spPr>
            <a:solidFill>
              <a:srgbClr val="94A3B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Charts!$D$5:$D$8</c:f>
              <c:strCache>
                <c:ptCount val="4"/>
                <c:pt idx="0">
                  <c:v>Governance</c:v>
                </c:pt>
                <c:pt idx="1">
                  <c:v>Defense</c:v>
                </c:pt>
                <c:pt idx="2">
                  <c:v>Resilience</c:v>
                </c:pt>
                <c:pt idx="3">
                  <c:v>3rd Party &amp; Cloud</c:v>
                </c:pt>
              </c:strCache>
            </c:strRef>
          </c:cat>
          <c:val>
            <c:numRef>
              <c:f>Charts!$G$5:$G$8</c:f>
              <c:numCache>
                <c:formatCode>General</c:formatCode>
                <c:ptCount val="4"/>
                <c:pt idx="0">
                  <c:v>35</c:v>
                </c:pt>
                <c:pt idx="1">
                  <c:v>61</c:v>
                </c:pt>
                <c:pt idx="2">
                  <c:v>4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24-43EC-9E02-04F23253C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076990"/>
        <c:axId val="13072993"/>
      </c:barChart>
      <c:catAx>
        <c:axId val="890769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Domain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072993"/>
        <c:crosses val="autoZero"/>
        <c:auto val="1"/>
        <c:lblAlgn val="ctr"/>
        <c:lblOffset val="100"/>
        <c:noMultiLvlLbl val="0"/>
      </c:catAx>
      <c:valAx>
        <c:axId val="130729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Number of Controls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0769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Compliance % by Domain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Charts!$J$4</c:f>
              <c:strCache>
                <c:ptCount val="1"/>
                <c:pt idx="0">
                  <c:v>Compliance %</c:v>
                </c:pt>
              </c:strCache>
            </c:strRef>
          </c:tx>
          <c:spPr>
            <a:solidFill>
              <a:srgbClr val="0D948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Charts!$I$5:$I$8</c:f>
              <c:strCache>
                <c:ptCount val="4"/>
                <c:pt idx="0">
                  <c:v>Governance</c:v>
                </c:pt>
                <c:pt idx="1">
                  <c:v>Defense</c:v>
                </c:pt>
                <c:pt idx="2">
                  <c:v>Resilience</c:v>
                </c:pt>
                <c:pt idx="3">
                  <c:v>3rd Party &amp; Cloud</c:v>
                </c:pt>
              </c:strCache>
            </c:strRef>
          </c:cat>
          <c:val>
            <c:numRef>
              <c:f>Charts!$J$5:$J$8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7-4E91-ACE7-F85B48134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910812"/>
        <c:axId val="87763219"/>
      </c:barChart>
      <c:catAx>
        <c:axId val="359108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763219"/>
        <c:crosses val="autoZero"/>
        <c:auto val="1"/>
        <c:lblAlgn val="ctr"/>
        <c:lblOffset val="100"/>
        <c:noMultiLvlLbl val="0"/>
      </c:catAx>
      <c:valAx>
        <c:axId val="87763219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Compliance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9108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6</xdr:col>
      <xdr:colOff>558720</xdr:colOff>
      <xdr:row>33</xdr:row>
      <xdr:rowOff>107640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9</xdr:row>
      <xdr:rowOff>0</xdr:rowOff>
    </xdr:from>
    <xdr:to>
      <xdr:col>18</xdr:col>
      <xdr:colOff>600840</xdr:colOff>
      <xdr:row>33</xdr:row>
      <xdr:rowOff>107640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6</xdr:col>
      <xdr:colOff>558720</xdr:colOff>
      <xdr:row>51</xdr:row>
      <xdr:rowOff>107640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293B"/>
  </sheetPr>
  <dimension ref="A1:I14"/>
  <sheetViews>
    <sheetView zoomScaleNormal="100" workbookViewId="0">
      <selection sqref="A1:I1"/>
    </sheetView>
  </sheetViews>
  <sheetFormatPr defaultColWidth="8.6640625" defaultRowHeight="14.4" x14ac:dyDescent="0.3"/>
  <cols>
    <col min="1" max="1" width="12" customWidth="1"/>
    <col min="2" max="2" width="38" customWidth="1"/>
    <col min="3" max="3" width="12" customWidth="1"/>
    <col min="4" max="6" width="14" customWidth="1"/>
    <col min="7" max="7" width="10" customWidth="1"/>
    <col min="8" max="8" width="16" customWidth="1"/>
    <col min="9" max="9" width="12" customWidth="1"/>
  </cols>
  <sheetData>
    <row r="1" spans="1:9" ht="45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24.75" customHeight="1" x14ac:dyDescent="0.3">
      <c r="A2" s="3" t="s">
        <v>1</v>
      </c>
      <c r="B2" s="3"/>
      <c r="C2" s="3"/>
      <c r="D2" s="3"/>
      <c r="E2" s="3"/>
      <c r="F2" s="3"/>
      <c r="G2" s="3"/>
      <c r="H2" s="3"/>
      <c r="I2" s="3"/>
    </row>
    <row r="4" spans="1:9" ht="15.6" x14ac:dyDescent="0.3">
      <c r="A4" s="2" t="s">
        <v>2</v>
      </c>
      <c r="B4" s="2"/>
      <c r="C4" s="2"/>
      <c r="D4" s="2"/>
      <c r="E4" s="2"/>
      <c r="F4" s="2"/>
      <c r="G4" s="2"/>
      <c r="H4" s="2"/>
      <c r="I4" s="2"/>
    </row>
    <row r="5" spans="1:9" x14ac:dyDescent="0.3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spans="1:9" ht="39.75" customHeight="1" x14ac:dyDescent="0.3">
      <c r="A6" s="6">
        <v>108</v>
      </c>
      <c r="B6" s="7">
        <f>COUNTIF('Controls Tracker'!G3:G110,"Implemented")</f>
        <v>0</v>
      </c>
      <c r="C6" s="8">
        <f>COUNTIF('Controls Tracker'!G3:G110,"In Progress")</f>
        <v>0</v>
      </c>
      <c r="D6" s="9">
        <f>COUNTIF('Controls Tracker'!G3:G110,"Not Started")</f>
        <v>108</v>
      </c>
      <c r="E6" s="10">
        <f>COUNTIF('Controls Tracker'!G3:G110,"Not Applicable")</f>
        <v>0</v>
      </c>
      <c r="F6" s="11">
        <f>IF(A6=0,0,B6/A6)</f>
        <v>0</v>
      </c>
    </row>
    <row r="8" spans="1:9" ht="15.6" x14ac:dyDescent="0.3">
      <c r="A8" s="2" t="s">
        <v>9</v>
      </c>
      <c r="B8" s="2"/>
      <c r="C8" s="2"/>
      <c r="D8" s="2"/>
      <c r="E8" s="2"/>
      <c r="F8" s="2"/>
      <c r="G8" s="2"/>
      <c r="H8" s="2"/>
      <c r="I8" s="2"/>
    </row>
    <row r="9" spans="1:9" x14ac:dyDescent="0.3">
      <c r="A9" s="12" t="s">
        <v>10</v>
      </c>
      <c r="B9" s="12" t="s">
        <v>11</v>
      </c>
      <c r="C9" s="12" t="s">
        <v>12</v>
      </c>
      <c r="D9" s="12" t="s">
        <v>4</v>
      </c>
      <c r="E9" s="12" t="s">
        <v>5</v>
      </c>
      <c r="F9" s="12" t="s">
        <v>6</v>
      </c>
      <c r="G9" s="12" t="s">
        <v>13</v>
      </c>
      <c r="H9" s="12" t="s">
        <v>8</v>
      </c>
      <c r="I9" s="12" t="s">
        <v>14</v>
      </c>
    </row>
    <row r="10" spans="1:9" ht="15.6" x14ac:dyDescent="0.3">
      <c r="A10" s="13" t="s">
        <v>15</v>
      </c>
      <c r="B10" s="14" t="s">
        <v>16</v>
      </c>
      <c r="C10" s="15">
        <f>COUNTIF('Controls Tracker'!B3:B110,"Cybersecurity Governance")</f>
        <v>35</v>
      </c>
      <c r="D10" s="16">
        <f>COUNTIFS('Controls Tracker'!B3:B110,"Cybersecurity Governance",'Controls Tracker'!G3:G110,"Implemented")</f>
        <v>0</v>
      </c>
      <c r="E10" s="17">
        <f>COUNTIFS('Controls Tracker'!B3:B110,"Cybersecurity Governance",'Controls Tracker'!G3:G110,"In Progress")</f>
        <v>0</v>
      </c>
      <c r="F10" s="18">
        <f>COUNTIFS('Controls Tracker'!B3:B110,"Cybersecurity Governance",'Controls Tracker'!G3:G110,"Not Started")</f>
        <v>35</v>
      </c>
      <c r="G10" s="19">
        <f>COUNTIFS('Controls Tracker'!B3:B110,"Cybersecurity Governance",'Controls Tracker'!G3:G110,"Not Applicable")</f>
        <v>0</v>
      </c>
      <c r="H10" s="20">
        <f>IF(C10=0,0,D10/C10)</f>
        <v>0</v>
      </c>
      <c r="I10" s="21">
        <f>1-H10</f>
        <v>1</v>
      </c>
    </row>
    <row r="11" spans="1:9" ht="15.6" x14ac:dyDescent="0.3">
      <c r="A11" s="22" t="s">
        <v>17</v>
      </c>
      <c r="B11" s="23" t="s">
        <v>18</v>
      </c>
      <c r="C11" s="24">
        <f>COUNTIF('Controls Tracker'!B3:B110,"Cybersecurity Defense")</f>
        <v>61</v>
      </c>
      <c r="D11" s="25">
        <f>COUNTIFS('Controls Tracker'!B3:B110,"Cybersecurity Defense",'Controls Tracker'!G3:G110,"Implemented")</f>
        <v>0</v>
      </c>
      <c r="E11" s="26">
        <f>COUNTIFS('Controls Tracker'!B3:B110,"Cybersecurity Defense",'Controls Tracker'!G3:G110,"In Progress")</f>
        <v>0</v>
      </c>
      <c r="F11" s="27">
        <f>COUNTIFS('Controls Tracker'!B3:B110,"Cybersecurity Defense",'Controls Tracker'!G3:G110,"Not Started")</f>
        <v>61</v>
      </c>
      <c r="G11" s="28">
        <f>COUNTIFS('Controls Tracker'!B3:B110,"Cybersecurity Defense",'Controls Tracker'!G3:G110,"Not Applicable")</f>
        <v>0</v>
      </c>
      <c r="H11" s="29">
        <f>IF(C11=0,0,D11/C11)</f>
        <v>0</v>
      </c>
      <c r="I11" s="30">
        <f>1-H11</f>
        <v>1</v>
      </c>
    </row>
    <row r="12" spans="1:9" ht="15.6" x14ac:dyDescent="0.3">
      <c r="A12" s="31" t="s">
        <v>19</v>
      </c>
      <c r="B12" s="14" t="s">
        <v>20</v>
      </c>
      <c r="C12" s="15">
        <f>COUNTIF('Controls Tracker'!B3:B110,"Cybersecurity Resilience")</f>
        <v>4</v>
      </c>
      <c r="D12" s="16">
        <f>COUNTIFS('Controls Tracker'!B3:B110,"Cybersecurity Resilience",'Controls Tracker'!G3:G110,"Implemented")</f>
        <v>0</v>
      </c>
      <c r="E12" s="17">
        <f>COUNTIFS('Controls Tracker'!B3:B110,"Cybersecurity Resilience",'Controls Tracker'!G3:G110,"In Progress")</f>
        <v>0</v>
      </c>
      <c r="F12" s="18">
        <f>COUNTIFS('Controls Tracker'!B3:B110,"Cybersecurity Resilience",'Controls Tracker'!G3:G110,"Not Started")</f>
        <v>4</v>
      </c>
      <c r="G12" s="19">
        <f>COUNTIFS('Controls Tracker'!B3:B110,"Cybersecurity Resilience",'Controls Tracker'!G3:G110,"Not Applicable")</f>
        <v>0</v>
      </c>
      <c r="H12" s="32">
        <f>IF(C12=0,0,D12/C12)</f>
        <v>0</v>
      </c>
      <c r="I12" s="21">
        <f>1-H12</f>
        <v>1</v>
      </c>
    </row>
    <row r="13" spans="1:9" ht="15.6" x14ac:dyDescent="0.3">
      <c r="A13" s="33" t="s">
        <v>21</v>
      </c>
      <c r="B13" s="23" t="s">
        <v>22</v>
      </c>
      <c r="C13" s="24">
        <f>COUNTIF('Controls Tracker'!B3:B110,"Third-Party &amp; Cloud Computing CS")</f>
        <v>8</v>
      </c>
      <c r="D13" s="25">
        <f>COUNTIFS('Controls Tracker'!B3:B110,"Third-Party &amp; Cloud Computing CS",'Controls Tracker'!G3:G110,"Implemented")</f>
        <v>0</v>
      </c>
      <c r="E13" s="26">
        <f>COUNTIFS('Controls Tracker'!B3:B110,"Third-Party &amp; Cloud Computing CS",'Controls Tracker'!G3:G110,"In Progress")</f>
        <v>0</v>
      </c>
      <c r="F13" s="27">
        <f>COUNTIFS('Controls Tracker'!B3:B110,"Third-Party &amp; Cloud Computing CS",'Controls Tracker'!G3:G110,"Not Started")</f>
        <v>8</v>
      </c>
      <c r="G13" s="28">
        <f>COUNTIFS('Controls Tracker'!B3:B110,"Third-Party &amp; Cloud Computing CS",'Controls Tracker'!G3:G110,"Not Applicable")</f>
        <v>0</v>
      </c>
      <c r="H13" s="34">
        <f>IF(C13=0,0,D13/C13)</f>
        <v>0</v>
      </c>
      <c r="I13" s="30">
        <f>1-H13</f>
        <v>1</v>
      </c>
    </row>
    <row r="14" spans="1:9" ht="16.8" x14ac:dyDescent="0.3">
      <c r="A14" s="35"/>
      <c r="B14" s="36" t="s">
        <v>23</v>
      </c>
      <c r="C14" s="37">
        <f>SUM(C10:C13)</f>
        <v>108</v>
      </c>
      <c r="D14" s="37">
        <f>SUM(D10:D13)</f>
        <v>0</v>
      </c>
      <c r="E14" s="37">
        <f>SUM(E10:E13)</f>
        <v>0</v>
      </c>
      <c r="F14" s="37">
        <f>SUM(F10:F13)</f>
        <v>108</v>
      </c>
      <c r="G14" s="37">
        <f>SUM(G10:G13)</f>
        <v>0</v>
      </c>
      <c r="H14" s="38">
        <f>IF(C14=0,0,D14/C14)</f>
        <v>0</v>
      </c>
      <c r="I14" s="39">
        <f>1-H14</f>
        <v>1</v>
      </c>
    </row>
  </sheetData>
  <mergeCells count="4">
    <mergeCell ref="A1:I1"/>
    <mergeCell ref="A2:I2"/>
    <mergeCell ref="A4:I4"/>
    <mergeCell ref="A8:I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59669"/>
  </sheetPr>
  <dimension ref="A1:K110"/>
  <sheetViews>
    <sheetView tabSelected="1" zoomScaleNormal="100" workbookViewId="0">
      <pane ySplit="2" topLeftCell="A3" activePane="bottomLeft" state="frozen"/>
      <selection pane="bottomLeft" activeCell="G3" sqref="G3"/>
    </sheetView>
  </sheetViews>
  <sheetFormatPr defaultColWidth="8.6640625" defaultRowHeight="14.4" x14ac:dyDescent="0.3"/>
  <cols>
    <col min="1" max="1" width="5" customWidth="1"/>
    <col min="2" max="2" width="30" customWidth="1"/>
    <col min="3" max="3" width="12" customWidth="1"/>
    <col min="4" max="4" width="32" customWidth="1"/>
    <col min="5" max="5" width="10" customWidth="1"/>
    <col min="6" max="6" width="60" customWidth="1"/>
    <col min="7" max="7" width="16" customWidth="1"/>
    <col min="8" max="8" width="40" customWidth="1"/>
    <col min="9" max="9" width="16" customWidth="1"/>
    <col min="10" max="10" width="14" customWidth="1"/>
    <col min="11" max="11" width="55" customWidth="1"/>
  </cols>
  <sheetData>
    <row r="1" spans="1:11" ht="39.75" customHeight="1" x14ac:dyDescent="0.3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3">
      <c r="A2" s="12" t="s">
        <v>25</v>
      </c>
      <c r="B2" s="12" t="s">
        <v>10</v>
      </c>
      <c r="C2" s="12" t="s">
        <v>26</v>
      </c>
      <c r="D2" s="12" t="s">
        <v>27</v>
      </c>
      <c r="E2" s="12" t="s">
        <v>28</v>
      </c>
      <c r="F2" s="12" t="s">
        <v>29</v>
      </c>
      <c r="G2" s="12" t="s">
        <v>30</v>
      </c>
      <c r="H2" s="12" t="s">
        <v>31</v>
      </c>
      <c r="I2" s="12" t="s">
        <v>32</v>
      </c>
      <c r="J2" s="12" t="s">
        <v>33</v>
      </c>
      <c r="K2" s="12" t="s">
        <v>34</v>
      </c>
    </row>
    <row r="3" spans="1:11" ht="45" customHeight="1" x14ac:dyDescent="0.3">
      <c r="A3" s="40">
        <v>1</v>
      </c>
      <c r="B3" s="40" t="s">
        <v>16</v>
      </c>
      <c r="C3" s="40" t="s">
        <v>35</v>
      </c>
      <c r="D3" s="40" t="s">
        <v>36</v>
      </c>
      <c r="E3" s="41" t="s">
        <v>37</v>
      </c>
      <c r="F3" s="42" t="s">
        <v>38</v>
      </c>
      <c r="G3" s="40" t="s">
        <v>6</v>
      </c>
      <c r="H3" s="42"/>
      <c r="I3" s="40"/>
      <c r="J3" s="40"/>
      <c r="K3" s="43" t="s">
        <v>39</v>
      </c>
    </row>
    <row r="4" spans="1:11" ht="45" customHeight="1" x14ac:dyDescent="0.3">
      <c r="A4" s="44">
        <v>2</v>
      </c>
      <c r="B4" s="44" t="s">
        <v>16</v>
      </c>
      <c r="C4" s="44" t="s">
        <v>35</v>
      </c>
      <c r="D4" s="44" t="s">
        <v>36</v>
      </c>
      <c r="E4" s="45" t="s">
        <v>40</v>
      </c>
      <c r="F4" s="46" t="s">
        <v>41</v>
      </c>
      <c r="G4" s="44" t="s">
        <v>6</v>
      </c>
      <c r="H4" s="46"/>
      <c r="I4" s="44"/>
      <c r="J4" s="44"/>
      <c r="K4" s="47" t="s">
        <v>39</v>
      </c>
    </row>
    <row r="5" spans="1:11" ht="45" customHeight="1" x14ac:dyDescent="0.3">
      <c r="A5" s="40">
        <v>3</v>
      </c>
      <c r="B5" s="40" t="s">
        <v>16</v>
      </c>
      <c r="C5" s="40" t="s">
        <v>35</v>
      </c>
      <c r="D5" s="40" t="s">
        <v>36</v>
      </c>
      <c r="E5" s="41" t="s">
        <v>42</v>
      </c>
      <c r="F5" s="42" t="s">
        <v>43</v>
      </c>
      <c r="G5" s="40" t="s">
        <v>6</v>
      </c>
      <c r="H5" s="42"/>
      <c r="I5" s="40"/>
      <c r="J5" s="40"/>
      <c r="K5" s="43" t="s">
        <v>39</v>
      </c>
    </row>
    <row r="6" spans="1:11" ht="45" customHeight="1" x14ac:dyDescent="0.3">
      <c r="A6" s="44">
        <v>4</v>
      </c>
      <c r="B6" s="44" t="s">
        <v>16</v>
      </c>
      <c r="C6" s="44" t="s">
        <v>44</v>
      </c>
      <c r="D6" s="44" t="s">
        <v>45</v>
      </c>
      <c r="E6" s="45" t="s">
        <v>46</v>
      </c>
      <c r="F6" s="46" t="s">
        <v>47</v>
      </c>
      <c r="G6" s="44" t="s">
        <v>6</v>
      </c>
      <c r="H6" s="46"/>
      <c r="I6" s="44"/>
      <c r="J6" s="44"/>
      <c r="K6" s="47" t="s">
        <v>48</v>
      </c>
    </row>
    <row r="7" spans="1:11" ht="45" customHeight="1" x14ac:dyDescent="0.3">
      <c r="A7" s="40">
        <v>5</v>
      </c>
      <c r="B7" s="40" t="s">
        <v>16</v>
      </c>
      <c r="C7" s="40" t="s">
        <v>44</v>
      </c>
      <c r="D7" s="40" t="s">
        <v>45</v>
      </c>
      <c r="E7" s="41" t="s">
        <v>49</v>
      </c>
      <c r="F7" s="42" t="s">
        <v>50</v>
      </c>
      <c r="G7" s="40" t="s">
        <v>6</v>
      </c>
      <c r="H7" s="42"/>
      <c r="I7" s="40"/>
      <c r="J7" s="40"/>
      <c r="K7" s="43" t="s">
        <v>48</v>
      </c>
    </row>
    <row r="8" spans="1:11" ht="45" customHeight="1" x14ac:dyDescent="0.3">
      <c r="A8" s="44">
        <v>6</v>
      </c>
      <c r="B8" s="44" t="s">
        <v>16</v>
      </c>
      <c r="C8" s="44" t="s">
        <v>44</v>
      </c>
      <c r="D8" s="44" t="s">
        <v>45</v>
      </c>
      <c r="E8" s="45" t="s">
        <v>51</v>
      </c>
      <c r="F8" s="46" t="s">
        <v>52</v>
      </c>
      <c r="G8" s="44" t="s">
        <v>6</v>
      </c>
      <c r="H8" s="46"/>
      <c r="I8" s="44"/>
      <c r="J8" s="44"/>
      <c r="K8" s="47" t="s">
        <v>48</v>
      </c>
    </row>
    <row r="9" spans="1:11" ht="45" customHeight="1" x14ac:dyDescent="0.3">
      <c r="A9" s="40">
        <v>7</v>
      </c>
      <c r="B9" s="40" t="s">
        <v>16</v>
      </c>
      <c r="C9" s="40" t="s">
        <v>53</v>
      </c>
      <c r="D9" s="40" t="s">
        <v>54</v>
      </c>
      <c r="E9" s="41" t="s">
        <v>55</v>
      </c>
      <c r="F9" s="42" t="s">
        <v>56</v>
      </c>
      <c r="G9" s="40" t="s">
        <v>6</v>
      </c>
      <c r="H9" s="42"/>
      <c r="I9" s="40"/>
      <c r="J9" s="40"/>
      <c r="K9" s="43" t="s">
        <v>57</v>
      </c>
    </row>
    <row r="10" spans="1:11" ht="45" customHeight="1" x14ac:dyDescent="0.3">
      <c r="A10" s="44">
        <v>8</v>
      </c>
      <c r="B10" s="44" t="s">
        <v>16</v>
      </c>
      <c r="C10" s="44" t="s">
        <v>53</v>
      </c>
      <c r="D10" s="44" t="s">
        <v>54</v>
      </c>
      <c r="E10" s="45" t="s">
        <v>58</v>
      </c>
      <c r="F10" s="46" t="s">
        <v>59</v>
      </c>
      <c r="G10" s="44" t="s">
        <v>6</v>
      </c>
      <c r="H10" s="46"/>
      <c r="I10" s="44"/>
      <c r="J10" s="44"/>
      <c r="K10" s="47" t="s">
        <v>57</v>
      </c>
    </row>
    <row r="11" spans="1:11" ht="45" customHeight="1" x14ac:dyDescent="0.3">
      <c r="A11" s="40">
        <v>9</v>
      </c>
      <c r="B11" s="40" t="s">
        <v>16</v>
      </c>
      <c r="C11" s="40" t="s">
        <v>53</v>
      </c>
      <c r="D11" s="40" t="s">
        <v>54</v>
      </c>
      <c r="E11" s="41" t="s">
        <v>60</v>
      </c>
      <c r="F11" s="42" t="s">
        <v>61</v>
      </c>
      <c r="G11" s="40" t="s">
        <v>6</v>
      </c>
      <c r="H11" s="42"/>
      <c r="I11" s="40"/>
      <c r="J11" s="40"/>
      <c r="K11" s="43" t="s">
        <v>57</v>
      </c>
    </row>
    <row r="12" spans="1:11" ht="45" customHeight="1" x14ac:dyDescent="0.3">
      <c r="A12" s="44">
        <v>10</v>
      </c>
      <c r="B12" s="44" t="s">
        <v>16</v>
      </c>
      <c r="C12" s="44" t="s">
        <v>53</v>
      </c>
      <c r="D12" s="44" t="s">
        <v>54</v>
      </c>
      <c r="E12" s="45" t="s">
        <v>62</v>
      </c>
      <c r="F12" s="46" t="s">
        <v>63</v>
      </c>
      <c r="G12" s="44" t="s">
        <v>6</v>
      </c>
      <c r="H12" s="46"/>
      <c r="I12" s="44"/>
      <c r="J12" s="44"/>
      <c r="K12" s="47" t="s">
        <v>57</v>
      </c>
    </row>
    <row r="13" spans="1:11" ht="45" customHeight="1" x14ac:dyDescent="0.3">
      <c r="A13" s="40">
        <v>11</v>
      </c>
      <c r="B13" s="40" t="s">
        <v>16</v>
      </c>
      <c r="C13" s="40" t="s">
        <v>64</v>
      </c>
      <c r="D13" s="40" t="s">
        <v>65</v>
      </c>
      <c r="E13" s="41" t="s">
        <v>66</v>
      </c>
      <c r="F13" s="42" t="s">
        <v>67</v>
      </c>
      <c r="G13" s="40" t="s">
        <v>6</v>
      </c>
      <c r="H13" s="42"/>
      <c r="I13" s="40"/>
      <c r="J13" s="40"/>
      <c r="K13" s="43" t="s">
        <v>68</v>
      </c>
    </row>
    <row r="14" spans="1:11" ht="45" customHeight="1" x14ac:dyDescent="0.3">
      <c r="A14" s="44">
        <v>12</v>
      </c>
      <c r="B14" s="44" t="s">
        <v>16</v>
      </c>
      <c r="C14" s="44" t="s">
        <v>64</v>
      </c>
      <c r="D14" s="44" t="s">
        <v>65</v>
      </c>
      <c r="E14" s="45" t="s">
        <v>69</v>
      </c>
      <c r="F14" s="46" t="s">
        <v>70</v>
      </c>
      <c r="G14" s="44" t="s">
        <v>6</v>
      </c>
      <c r="H14" s="46"/>
      <c r="I14" s="44"/>
      <c r="J14" s="44"/>
      <c r="K14" s="47" t="s">
        <v>68</v>
      </c>
    </row>
    <row r="15" spans="1:11" ht="45" customHeight="1" x14ac:dyDescent="0.3">
      <c r="A15" s="40">
        <v>13</v>
      </c>
      <c r="B15" s="40" t="s">
        <v>16</v>
      </c>
      <c r="C15" s="40" t="s">
        <v>71</v>
      </c>
      <c r="D15" s="40" t="s">
        <v>72</v>
      </c>
      <c r="E15" s="41" t="s">
        <v>73</v>
      </c>
      <c r="F15" s="42" t="s">
        <v>74</v>
      </c>
      <c r="G15" s="40" t="s">
        <v>6</v>
      </c>
      <c r="H15" s="42"/>
      <c r="I15" s="40"/>
      <c r="J15" s="40"/>
      <c r="K15" s="43" t="s">
        <v>75</v>
      </c>
    </row>
    <row r="16" spans="1:11" ht="45" customHeight="1" x14ac:dyDescent="0.3">
      <c r="A16" s="44">
        <v>14</v>
      </c>
      <c r="B16" s="44" t="s">
        <v>16</v>
      </c>
      <c r="C16" s="44" t="s">
        <v>71</v>
      </c>
      <c r="D16" s="44" t="s">
        <v>72</v>
      </c>
      <c r="E16" s="45" t="s">
        <v>76</v>
      </c>
      <c r="F16" s="46" t="s">
        <v>77</v>
      </c>
      <c r="G16" s="44" t="s">
        <v>6</v>
      </c>
      <c r="H16" s="46"/>
      <c r="I16" s="44"/>
      <c r="J16" s="44"/>
      <c r="K16" s="47" t="s">
        <v>75</v>
      </c>
    </row>
    <row r="17" spans="1:11" ht="45" customHeight="1" x14ac:dyDescent="0.3">
      <c r="A17" s="40">
        <v>15</v>
      </c>
      <c r="B17" s="40" t="s">
        <v>16</v>
      </c>
      <c r="C17" s="40" t="s">
        <v>71</v>
      </c>
      <c r="D17" s="40" t="s">
        <v>72</v>
      </c>
      <c r="E17" s="41" t="s">
        <v>78</v>
      </c>
      <c r="F17" s="42" t="s">
        <v>79</v>
      </c>
      <c r="G17" s="40" t="s">
        <v>6</v>
      </c>
      <c r="H17" s="42"/>
      <c r="I17" s="40"/>
      <c r="J17" s="40"/>
      <c r="K17" s="43" t="s">
        <v>75</v>
      </c>
    </row>
    <row r="18" spans="1:11" ht="45" customHeight="1" x14ac:dyDescent="0.3">
      <c r="A18" s="44">
        <v>16</v>
      </c>
      <c r="B18" s="44" t="s">
        <v>16</v>
      </c>
      <c r="C18" s="44" t="s">
        <v>71</v>
      </c>
      <c r="D18" s="44" t="s">
        <v>72</v>
      </c>
      <c r="E18" s="45" t="s">
        <v>80</v>
      </c>
      <c r="F18" s="46" t="s">
        <v>81</v>
      </c>
      <c r="G18" s="44" t="s">
        <v>6</v>
      </c>
      <c r="H18" s="46"/>
      <c r="I18" s="44"/>
      <c r="J18" s="44"/>
      <c r="K18" s="47" t="s">
        <v>75</v>
      </c>
    </row>
    <row r="19" spans="1:11" ht="45" customHeight="1" x14ac:dyDescent="0.3">
      <c r="A19" s="40">
        <v>17</v>
      </c>
      <c r="B19" s="40" t="s">
        <v>16</v>
      </c>
      <c r="C19" s="40" t="s">
        <v>82</v>
      </c>
      <c r="D19" s="40" t="s">
        <v>83</v>
      </c>
      <c r="E19" s="41" t="s">
        <v>84</v>
      </c>
      <c r="F19" s="42" t="s">
        <v>85</v>
      </c>
      <c r="G19" s="40" t="s">
        <v>6</v>
      </c>
      <c r="H19" s="42"/>
      <c r="I19" s="40"/>
      <c r="J19" s="40"/>
      <c r="K19" s="43" t="s">
        <v>86</v>
      </c>
    </row>
    <row r="20" spans="1:11" ht="45" customHeight="1" x14ac:dyDescent="0.3">
      <c r="A20" s="44">
        <v>18</v>
      </c>
      <c r="B20" s="44" t="s">
        <v>16</v>
      </c>
      <c r="C20" s="44" t="s">
        <v>82</v>
      </c>
      <c r="D20" s="44" t="s">
        <v>83</v>
      </c>
      <c r="E20" s="45" t="s">
        <v>87</v>
      </c>
      <c r="F20" s="46" t="s">
        <v>88</v>
      </c>
      <c r="G20" s="44" t="s">
        <v>6</v>
      </c>
      <c r="H20" s="46"/>
      <c r="I20" s="44"/>
      <c r="J20" s="44"/>
      <c r="K20" s="47" t="s">
        <v>86</v>
      </c>
    </row>
    <row r="21" spans="1:11" ht="45" customHeight="1" x14ac:dyDescent="0.3">
      <c r="A21" s="40">
        <v>19</v>
      </c>
      <c r="B21" s="40" t="s">
        <v>16</v>
      </c>
      <c r="C21" s="40" t="s">
        <v>82</v>
      </c>
      <c r="D21" s="40" t="s">
        <v>83</v>
      </c>
      <c r="E21" s="41" t="s">
        <v>89</v>
      </c>
      <c r="F21" s="42" t="s">
        <v>90</v>
      </c>
      <c r="G21" s="40" t="s">
        <v>6</v>
      </c>
      <c r="H21" s="42"/>
      <c r="I21" s="40"/>
      <c r="J21" s="40"/>
      <c r="K21" s="43" t="s">
        <v>86</v>
      </c>
    </row>
    <row r="22" spans="1:11" ht="45" customHeight="1" x14ac:dyDescent="0.3">
      <c r="A22" s="44">
        <v>20</v>
      </c>
      <c r="B22" s="44" t="s">
        <v>16</v>
      </c>
      <c r="C22" s="44" t="s">
        <v>82</v>
      </c>
      <c r="D22" s="44" t="s">
        <v>83</v>
      </c>
      <c r="E22" s="45" t="s">
        <v>91</v>
      </c>
      <c r="F22" s="46" t="s">
        <v>92</v>
      </c>
      <c r="G22" s="44" t="s">
        <v>6</v>
      </c>
      <c r="H22" s="46"/>
      <c r="I22" s="44"/>
      <c r="J22" s="44"/>
      <c r="K22" s="47" t="s">
        <v>86</v>
      </c>
    </row>
    <row r="23" spans="1:11" ht="45" customHeight="1" x14ac:dyDescent="0.3">
      <c r="A23" s="40">
        <v>21</v>
      </c>
      <c r="B23" s="40" t="s">
        <v>16</v>
      </c>
      <c r="C23" s="40" t="s">
        <v>93</v>
      </c>
      <c r="D23" s="40" t="s">
        <v>94</v>
      </c>
      <c r="E23" s="41" t="s">
        <v>95</v>
      </c>
      <c r="F23" s="42" t="s">
        <v>96</v>
      </c>
      <c r="G23" s="40" t="s">
        <v>6</v>
      </c>
      <c r="H23" s="42"/>
      <c r="I23" s="40"/>
      <c r="J23" s="40"/>
      <c r="K23" s="43" t="s">
        <v>97</v>
      </c>
    </row>
    <row r="24" spans="1:11" ht="45" customHeight="1" x14ac:dyDescent="0.3">
      <c r="A24" s="44">
        <v>22</v>
      </c>
      <c r="B24" s="44" t="s">
        <v>16</v>
      </c>
      <c r="C24" s="44" t="s">
        <v>98</v>
      </c>
      <c r="D24" s="44" t="s">
        <v>99</v>
      </c>
      <c r="E24" s="45" t="s">
        <v>100</v>
      </c>
      <c r="F24" s="46" t="s">
        <v>101</v>
      </c>
      <c r="G24" s="44" t="s">
        <v>6</v>
      </c>
      <c r="H24" s="46"/>
      <c r="I24" s="44"/>
      <c r="J24" s="44"/>
      <c r="K24" s="47" t="s">
        <v>102</v>
      </c>
    </row>
    <row r="25" spans="1:11" ht="45" customHeight="1" x14ac:dyDescent="0.3">
      <c r="A25" s="40">
        <v>23</v>
      </c>
      <c r="B25" s="40" t="s">
        <v>16</v>
      </c>
      <c r="C25" s="40" t="s">
        <v>98</v>
      </c>
      <c r="D25" s="40" t="s">
        <v>99</v>
      </c>
      <c r="E25" s="41" t="s">
        <v>103</v>
      </c>
      <c r="F25" s="42" t="s">
        <v>104</v>
      </c>
      <c r="G25" s="40" t="s">
        <v>6</v>
      </c>
      <c r="H25" s="42"/>
      <c r="I25" s="40"/>
      <c r="J25" s="40"/>
      <c r="K25" s="43" t="s">
        <v>102</v>
      </c>
    </row>
    <row r="26" spans="1:11" ht="45" customHeight="1" x14ac:dyDescent="0.3">
      <c r="A26" s="44">
        <v>24</v>
      </c>
      <c r="B26" s="44" t="s">
        <v>16</v>
      </c>
      <c r="C26" s="44" t="s">
        <v>98</v>
      </c>
      <c r="D26" s="44" t="s">
        <v>99</v>
      </c>
      <c r="E26" s="45" t="s">
        <v>105</v>
      </c>
      <c r="F26" s="46" t="s">
        <v>106</v>
      </c>
      <c r="G26" s="44" t="s">
        <v>6</v>
      </c>
      <c r="H26" s="46"/>
      <c r="I26" s="44"/>
      <c r="J26" s="44"/>
      <c r="K26" s="47" t="s">
        <v>102</v>
      </c>
    </row>
    <row r="27" spans="1:11" ht="45" customHeight="1" x14ac:dyDescent="0.3">
      <c r="A27" s="40">
        <v>25</v>
      </c>
      <c r="B27" s="40" t="s">
        <v>16</v>
      </c>
      <c r="C27" s="40" t="s">
        <v>107</v>
      </c>
      <c r="D27" s="40" t="s">
        <v>108</v>
      </c>
      <c r="E27" s="41" t="s">
        <v>109</v>
      </c>
      <c r="F27" s="42" t="s">
        <v>110</v>
      </c>
      <c r="G27" s="40" t="s">
        <v>6</v>
      </c>
      <c r="H27" s="42"/>
      <c r="I27" s="40"/>
      <c r="J27" s="40"/>
      <c r="K27" s="43" t="s">
        <v>111</v>
      </c>
    </row>
    <row r="28" spans="1:11" ht="45" customHeight="1" x14ac:dyDescent="0.3">
      <c r="A28" s="44">
        <v>26</v>
      </c>
      <c r="B28" s="44" t="s">
        <v>16</v>
      </c>
      <c r="C28" s="44" t="s">
        <v>107</v>
      </c>
      <c r="D28" s="44" t="s">
        <v>108</v>
      </c>
      <c r="E28" s="45" t="s">
        <v>112</v>
      </c>
      <c r="F28" s="46" t="s">
        <v>113</v>
      </c>
      <c r="G28" s="44" t="s">
        <v>6</v>
      </c>
      <c r="H28" s="46"/>
      <c r="I28" s="44"/>
      <c r="J28" s="44"/>
      <c r="K28" s="47" t="s">
        <v>111</v>
      </c>
    </row>
    <row r="29" spans="1:11" ht="45" customHeight="1" x14ac:dyDescent="0.3">
      <c r="A29" s="40">
        <v>27</v>
      </c>
      <c r="B29" s="40" t="s">
        <v>16</v>
      </c>
      <c r="C29" s="40" t="s">
        <v>107</v>
      </c>
      <c r="D29" s="40" t="s">
        <v>108</v>
      </c>
      <c r="E29" s="41" t="s">
        <v>114</v>
      </c>
      <c r="F29" s="42" t="s">
        <v>115</v>
      </c>
      <c r="G29" s="40" t="s">
        <v>6</v>
      </c>
      <c r="H29" s="42"/>
      <c r="I29" s="40"/>
      <c r="J29" s="40"/>
      <c r="K29" s="43" t="s">
        <v>111</v>
      </c>
    </row>
    <row r="30" spans="1:11" ht="45" customHeight="1" x14ac:dyDescent="0.3">
      <c r="A30" s="44">
        <v>28</v>
      </c>
      <c r="B30" s="44" t="s">
        <v>16</v>
      </c>
      <c r="C30" s="44" t="s">
        <v>107</v>
      </c>
      <c r="D30" s="44" t="s">
        <v>108</v>
      </c>
      <c r="E30" s="45" t="s">
        <v>116</v>
      </c>
      <c r="F30" s="46" t="s">
        <v>117</v>
      </c>
      <c r="G30" s="44" t="s">
        <v>6</v>
      </c>
      <c r="H30" s="46"/>
      <c r="I30" s="44"/>
      <c r="J30" s="44"/>
      <c r="K30" s="47" t="s">
        <v>111</v>
      </c>
    </row>
    <row r="31" spans="1:11" ht="45" customHeight="1" x14ac:dyDescent="0.3">
      <c r="A31" s="40">
        <v>29</v>
      </c>
      <c r="B31" s="40" t="s">
        <v>16</v>
      </c>
      <c r="C31" s="40" t="s">
        <v>107</v>
      </c>
      <c r="D31" s="40" t="s">
        <v>108</v>
      </c>
      <c r="E31" s="41" t="s">
        <v>118</v>
      </c>
      <c r="F31" s="42" t="s">
        <v>119</v>
      </c>
      <c r="G31" s="40" t="s">
        <v>6</v>
      </c>
      <c r="H31" s="42"/>
      <c r="I31" s="40"/>
      <c r="J31" s="40"/>
      <c r="K31" s="43" t="s">
        <v>111</v>
      </c>
    </row>
    <row r="32" spans="1:11" ht="45" customHeight="1" x14ac:dyDescent="0.3">
      <c r="A32" s="44">
        <v>30</v>
      </c>
      <c r="B32" s="44" t="s">
        <v>16</v>
      </c>
      <c r="C32" s="44" t="s">
        <v>107</v>
      </c>
      <c r="D32" s="44" t="s">
        <v>108</v>
      </c>
      <c r="E32" s="45" t="s">
        <v>120</v>
      </c>
      <c r="F32" s="46" t="s">
        <v>121</v>
      </c>
      <c r="G32" s="44" t="s">
        <v>6</v>
      </c>
      <c r="H32" s="46"/>
      <c r="I32" s="44"/>
      <c r="J32" s="44"/>
      <c r="K32" s="47" t="s">
        <v>111</v>
      </c>
    </row>
    <row r="33" spans="1:11" ht="45" customHeight="1" x14ac:dyDescent="0.3">
      <c r="A33" s="40">
        <v>31</v>
      </c>
      <c r="B33" s="40" t="s">
        <v>16</v>
      </c>
      <c r="C33" s="40" t="s">
        <v>122</v>
      </c>
      <c r="D33" s="40" t="s">
        <v>123</v>
      </c>
      <c r="E33" s="41" t="s">
        <v>124</v>
      </c>
      <c r="F33" s="42" t="s">
        <v>125</v>
      </c>
      <c r="G33" s="40" t="s">
        <v>6</v>
      </c>
      <c r="H33" s="42"/>
      <c r="I33" s="40"/>
      <c r="J33" s="40"/>
      <c r="K33" s="43" t="s">
        <v>126</v>
      </c>
    </row>
    <row r="34" spans="1:11" ht="45" customHeight="1" x14ac:dyDescent="0.3">
      <c r="A34" s="44">
        <v>32</v>
      </c>
      <c r="B34" s="44" t="s">
        <v>16</v>
      </c>
      <c r="C34" s="44" t="s">
        <v>122</v>
      </c>
      <c r="D34" s="44" t="s">
        <v>123</v>
      </c>
      <c r="E34" s="45" t="s">
        <v>127</v>
      </c>
      <c r="F34" s="46" t="s">
        <v>128</v>
      </c>
      <c r="G34" s="44" t="s">
        <v>6</v>
      </c>
      <c r="H34" s="46"/>
      <c r="I34" s="44"/>
      <c r="J34" s="44"/>
      <c r="K34" s="47" t="s">
        <v>126</v>
      </c>
    </row>
    <row r="35" spans="1:11" ht="45" customHeight="1" x14ac:dyDescent="0.3">
      <c r="A35" s="40">
        <v>33</v>
      </c>
      <c r="B35" s="40" t="s">
        <v>16</v>
      </c>
      <c r="C35" s="40" t="s">
        <v>122</v>
      </c>
      <c r="D35" s="40" t="s">
        <v>123</v>
      </c>
      <c r="E35" s="41" t="s">
        <v>129</v>
      </c>
      <c r="F35" s="42" t="s">
        <v>130</v>
      </c>
      <c r="G35" s="40" t="s">
        <v>6</v>
      </c>
      <c r="H35" s="42"/>
      <c r="I35" s="40"/>
      <c r="J35" s="40"/>
      <c r="K35" s="43" t="s">
        <v>126</v>
      </c>
    </row>
    <row r="36" spans="1:11" ht="45" customHeight="1" x14ac:dyDescent="0.3">
      <c r="A36" s="44">
        <v>34</v>
      </c>
      <c r="B36" s="44" t="s">
        <v>16</v>
      </c>
      <c r="C36" s="44" t="s">
        <v>122</v>
      </c>
      <c r="D36" s="44" t="s">
        <v>123</v>
      </c>
      <c r="E36" s="45" t="s">
        <v>131</v>
      </c>
      <c r="F36" s="46" t="s">
        <v>132</v>
      </c>
      <c r="G36" s="44" t="s">
        <v>6</v>
      </c>
      <c r="H36" s="46"/>
      <c r="I36" s="44"/>
      <c r="J36" s="44"/>
      <c r="K36" s="47" t="s">
        <v>126</v>
      </c>
    </row>
    <row r="37" spans="1:11" ht="45" customHeight="1" x14ac:dyDescent="0.3">
      <c r="A37" s="40">
        <v>35</v>
      </c>
      <c r="B37" s="40" t="s">
        <v>16</v>
      </c>
      <c r="C37" s="40" t="s">
        <v>122</v>
      </c>
      <c r="D37" s="40" t="s">
        <v>123</v>
      </c>
      <c r="E37" s="41" t="s">
        <v>133</v>
      </c>
      <c r="F37" s="42" t="s">
        <v>134</v>
      </c>
      <c r="G37" s="40" t="s">
        <v>6</v>
      </c>
      <c r="H37" s="42"/>
      <c r="I37" s="40"/>
      <c r="J37" s="40"/>
      <c r="K37" s="43" t="s">
        <v>126</v>
      </c>
    </row>
    <row r="38" spans="1:11" ht="45" customHeight="1" x14ac:dyDescent="0.3">
      <c r="A38" s="44">
        <v>36</v>
      </c>
      <c r="B38" s="44" t="s">
        <v>18</v>
      </c>
      <c r="C38" s="44" t="s">
        <v>135</v>
      </c>
      <c r="D38" s="44" t="s">
        <v>136</v>
      </c>
      <c r="E38" s="45" t="s">
        <v>137</v>
      </c>
      <c r="F38" s="46" t="s">
        <v>138</v>
      </c>
      <c r="G38" s="44" t="s">
        <v>6</v>
      </c>
      <c r="H38" s="46"/>
      <c r="I38" s="44"/>
      <c r="J38" s="44"/>
      <c r="K38" s="47" t="s">
        <v>139</v>
      </c>
    </row>
    <row r="39" spans="1:11" ht="45" customHeight="1" x14ac:dyDescent="0.3">
      <c r="A39" s="40">
        <v>37</v>
      </c>
      <c r="B39" s="40" t="s">
        <v>18</v>
      </c>
      <c r="C39" s="40" t="s">
        <v>135</v>
      </c>
      <c r="D39" s="40" t="s">
        <v>136</v>
      </c>
      <c r="E39" s="41" t="s">
        <v>140</v>
      </c>
      <c r="F39" s="42" t="s">
        <v>141</v>
      </c>
      <c r="G39" s="40" t="s">
        <v>6</v>
      </c>
      <c r="H39" s="42"/>
      <c r="I39" s="40"/>
      <c r="J39" s="40"/>
      <c r="K39" s="43" t="s">
        <v>139</v>
      </c>
    </row>
    <row r="40" spans="1:11" ht="45" customHeight="1" x14ac:dyDescent="0.3">
      <c r="A40" s="44">
        <v>38</v>
      </c>
      <c r="B40" s="44" t="s">
        <v>18</v>
      </c>
      <c r="C40" s="44" t="s">
        <v>135</v>
      </c>
      <c r="D40" s="44" t="s">
        <v>136</v>
      </c>
      <c r="E40" s="45" t="s">
        <v>142</v>
      </c>
      <c r="F40" s="46" t="s">
        <v>143</v>
      </c>
      <c r="G40" s="44" t="s">
        <v>6</v>
      </c>
      <c r="H40" s="46"/>
      <c r="I40" s="44"/>
      <c r="J40" s="44"/>
      <c r="K40" s="47" t="s">
        <v>139</v>
      </c>
    </row>
    <row r="41" spans="1:11" ht="45" customHeight="1" x14ac:dyDescent="0.3">
      <c r="A41" s="40">
        <v>39</v>
      </c>
      <c r="B41" s="40" t="s">
        <v>18</v>
      </c>
      <c r="C41" s="40" t="s">
        <v>135</v>
      </c>
      <c r="D41" s="40" t="s">
        <v>136</v>
      </c>
      <c r="E41" s="41" t="s">
        <v>144</v>
      </c>
      <c r="F41" s="42" t="s">
        <v>145</v>
      </c>
      <c r="G41" s="40" t="s">
        <v>6</v>
      </c>
      <c r="H41" s="42"/>
      <c r="I41" s="40"/>
      <c r="J41" s="40"/>
      <c r="K41" s="43" t="s">
        <v>139</v>
      </c>
    </row>
    <row r="42" spans="1:11" ht="45" customHeight="1" x14ac:dyDescent="0.3">
      <c r="A42" s="44">
        <v>40</v>
      </c>
      <c r="B42" s="44" t="s">
        <v>18</v>
      </c>
      <c r="C42" s="44" t="s">
        <v>135</v>
      </c>
      <c r="D42" s="44" t="s">
        <v>136</v>
      </c>
      <c r="E42" s="45" t="s">
        <v>146</v>
      </c>
      <c r="F42" s="46" t="s">
        <v>147</v>
      </c>
      <c r="G42" s="44" t="s">
        <v>6</v>
      </c>
      <c r="H42" s="46"/>
      <c r="I42" s="44"/>
      <c r="J42" s="44"/>
      <c r="K42" s="47" t="s">
        <v>139</v>
      </c>
    </row>
    <row r="43" spans="1:11" ht="45" customHeight="1" x14ac:dyDescent="0.3">
      <c r="A43" s="40">
        <v>41</v>
      </c>
      <c r="B43" s="40" t="s">
        <v>18</v>
      </c>
      <c r="C43" s="40" t="s">
        <v>135</v>
      </c>
      <c r="D43" s="40" t="s">
        <v>136</v>
      </c>
      <c r="E43" s="41" t="s">
        <v>148</v>
      </c>
      <c r="F43" s="42" t="s">
        <v>149</v>
      </c>
      <c r="G43" s="40" t="s">
        <v>6</v>
      </c>
      <c r="H43" s="42"/>
      <c r="I43" s="40"/>
      <c r="J43" s="40"/>
      <c r="K43" s="43" t="s">
        <v>139</v>
      </c>
    </row>
    <row r="44" spans="1:11" ht="45" customHeight="1" x14ac:dyDescent="0.3">
      <c r="A44" s="44">
        <v>42</v>
      </c>
      <c r="B44" s="44" t="s">
        <v>18</v>
      </c>
      <c r="C44" s="44" t="s">
        <v>150</v>
      </c>
      <c r="D44" s="44" t="s">
        <v>151</v>
      </c>
      <c r="E44" s="45" t="s">
        <v>152</v>
      </c>
      <c r="F44" s="46" t="s">
        <v>153</v>
      </c>
      <c r="G44" s="44" t="s">
        <v>6</v>
      </c>
      <c r="H44" s="46"/>
      <c r="I44" s="44"/>
      <c r="J44" s="44"/>
      <c r="K44" s="47" t="s">
        <v>154</v>
      </c>
    </row>
    <row r="45" spans="1:11" ht="45" customHeight="1" x14ac:dyDescent="0.3">
      <c r="A45" s="40">
        <v>43</v>
      </c>
      <c r="B45" s="40" t="s">
        <v>18</v>
      </c>
      <c r="C45" s="40" t="s">
        <v>150</v>
      </c>
      <c r="D45" s="40" t="s">
        <v>151</v>
      </c>
      <c r="E45" s="41" t="s">
        <v>155</v>
      </c>
      <c r="F45" s="42" t="s">
        <v>156</v>
      </c>
      <c r="G45" s="40" t="s">
        <v>6</v>
      </c>
      <c r="H45" s="42"/>
      <c r="I45" s="40"/>
      <c r="J45" s="40"/>
      <c r="K45" s="43" t="s">
        <v>154</v>
      </c>
    </row>
    <row r="46" spans="1:11" ht="45" customHeight="1" x14ac:dyDescent="0.3">
      <c r="A46" s="44">
        <v>44</v>
      </c>
      <c r="B46" s="44" t="s">
        <v>18</v>
      </c>
      <c r="C46" s="44" t="s">
        <v>150</v>
      </c>
      <c r="D46" s="44" t="s">
        <v>151</v>
      </c>
      <c r="E46" s="45" t="s">
        <v>157</v>
      </c>
      <c r="F46" s="46" t="s">
        <v>158</v>
      </c>
      <c r="G46" s="44" t="s">
        <v>6</v>
      </c>
      <c r="H46" s="46"/>
      <c r="I46" s="44"/>
      <c r="J46" s="44"/>
      <c r="K46" s="47" t="s">
        <v>154</v>
      </c>
    </row>
    <row r="47" spans="1:11" ht="45" customHeight="1" x14ac:dyDescent="0.3">
      <c r="A47" s="40">
        <v>45</v>
      </c>
      <c r="B47" s="40" t="s">
        <v>18</v>
      </c>
      <c r="C47" s="40" t="s">
        <v>150</v>
      </c>
      <c r="D47" s="40" t="s">
        <v>151</v>
      </c>
      <c r="E47" s="41" t="s">
        <v>159</v>
      </c>
      <c r="F47" s="42" t="s">
        <v>160</v>
      </c>
      <c r="G47" s="40" t="s">
        <v>6</v>
      </c>
      <c r="H47" s="42"/>
      <c r="I47" s="40"/>
      <c r="J47" s="40"/>
      <c r="K47" s="43" t="s">
        <v>154</v>
      </c>
    </row>
    <row r="48" spans="1:11" ht="45" customHeight="1" x14ac:dyDescent="0.3">
      <c r="A48" s="44">
        <v>46</v>
      </c>
      <c r="B48" s="44" t="s">
        <v>18</v>
      </c>
      <c r="C48" s="44" t="s">
        <v>161</v>
      </c>
      <c r="D48" s="44" t="s">
        <v>162</v>
      </c>
      <c r="E48" s="45" t="s">
        <v>163</v>
      </c>
      <c r="F48" s="46" t="s">
        <v>164</v>
      </c>
      <c r="G48" s="44" t="s">
        <v>6</v>
      </c>
      <c r="H48" s="46"/>
      <c r="I48" s="44"/>
      <c r="J48" s="44"/>
      <c r="K48" s="47" t="s">
        <v>165</v>
      </c>
    </row>
    <row r="49" spans="1:11" ht="45" customHeight="1" x14ac:dyDescent="0.3">
      <c r="A49" s="40">
        <v>47</v>
      </c>
      <c r="B49" s="40" t="s">
        <v>18</v>
      </c>
      <c r="C49" s="40" t="s">
        <v>161</v>
      </c>
      <c r="D49" s="40" t="s">
        <v>162</v>
      </c>
      <c r="E49" s="41" t="s">
        <v>166</v>
      </c>
      <c r="F49" s="42" t="s">
        <v>167</v>
      </c>
      <c r="G49" s="40" t="s">
        <v>6</v>
      </c>
      <c r="H49" s="42"/>
      <c r="I49" s="40"/>
      <c r="J49" s="40"/>
      <c r="K49" s="43" t="s">
        <v>165</v>
      </c>
    </row>
    <row r="50" spans="1:11" ht="45" customHeight="1" x14ac:dyDescent="0.3">
      <c r="A50" s="44">
        <v>48</v>
      </c>
      <c r="B50" s="44" t="s">
        <v>18</v>
      </c>
      <c r="C50" s="44" t="s">
        <v>161</v>
      </c>
      <c r="D50" s="44" t="s">
        <v>162</v>
      </c>
      <c r="E50" s="45" t="s">
        <v>168</v>
      </c>
      <c r="F50" s="46" t="s">
        <v>169</v>
      </c>
      <c r="G50" s="44" t="s">
        <v>6</v>
      </c>
      <c r="H50" s="46"/>
      <c r="I50" s="44"/>
      <c r="J50" s="44"/>
      <c r="K50" s="47" t="s">
        <v>165</v>
      </c>
    </row>
    <row r="51" spans="1:11" ht="45" customHeight="1" x14ac:dyDescent="0.3">
      <c r="A51" s="40">
        <v>49</v>
      </c>
      <c r="B51" s="40" t="s">
        <v>18</v>
      </c>
      <c r="C51" s="40" t="s">
        <v>161</v>
      </c>
      <c r="D51" s="40" t="s">
        <v>162</v>
      </c>
      <c r="E51" s="41" t="s">
        <v>170</v>
      </c>
      <c r="F51" s="42" t="s">
        <v>171</v>
      </c>
      <c r="G51" s="40" t="s">
        <v>6</v>
      </c>
      <c r="H51" s="42"/>
      <c r="I51" s="40"/>
      <c r="J51" s="40"/>
      <c r="K51" s="43" t="s">
        <v>165</v>
      </c>
    </row>
    <row r="52" spans="1:11" ht="45" customHeight="1" x14ac:dyDescent="0.3">
      <c r="A52" s="44">
        <v>50</v>
      </c>
      <c r="B52" s="44" t="s">
        <v>18</v>
      </c>
      <c r="C52" s="44" t="s">
        <v>172</v>
      </c>
      <c r="D52" s="44" t="s">
        <v>173</v>
      </c>
      <c r="E52" s="45" t="s">
        <v>174</v>
      </c>
      <c r="F52" s="46" t="s">
        <v>175</v>
      </c>
      <c r="G52" s="44" t="s">
        <v>6</v>
      </c>
      <c r="H52" s="46"/>
      <c r="I52" s="44"/>
      <c r="J52" s="44"/>
      <c r="K52" s="47" t="s">
        <v>176</v>
      </c>
    </row>
    <row r="53" spans="1:11" ht="45" customHeight="1" x14ac:dyDescent="0.3">
      <c r="A53" s="40">
        <v>51</v>
      </c>
      <c r="B53" s="40" t="s">
        <v>18</v>
      </c>
      <c r="C53" s="40" t="s">
        <v>172</v>
      </c>
      <c r="D53" s="40" t="s">
        <v>173</v>
      </c>
      <c r="E53" s="41" t="s">
        <v>177</v>
      </c>
      <c r="F53" s="42" t="s">
        <v>178</v>
      </c>
      <c r="G53" s="40" t="s">
        <v>6</v>
      </c>
      <c r="H53" s="42"/>
      <c r="I53" s="40"/>
      <c r="J53" s="40"/>
      <c r="K53" s="43" t="s">
        <v>176</v>
      </c>
    </row>
    <row r="54" spans="1:11" ht="45" customHeight="1" x14ac:dyDescent="0.3">
      <c r="A54" s="44">
        <v>52</v>
      </c>
      <c r="B54" s="44" t="s">
        <v>18</v>
      </c>
      <c r="C54" s="44" t="s">
        <v>172</v>
      </c>
      <c r="D54" s="44" t="s">
        <v>173</v>
      </c>
      <c r="E54" s="45" t="s">
        <v>179</v>
      </c>
      <c r="F54" s="46" t="s">
        <v>180</v>
      </c>
      <c r="G54" s="44" t="s">
        <v>6</v>
      </c>
      <c r="H54" s="46"/>
      <c r="I54" s="44"/>
      <c r="J54" s="44"/>
      <c r="K54" s="47" t="s">
        <v>176</v>
      </c>
    </row>
    <row r="55" spans="1:11" ht="45" customHeight="1" x14ac:dyDescent="0.3">
      <c r="A55" s="40">
        <v>53</v>
      </c>
      <c r="B55" s="40" t="s">
        <v>18</v>
      </c>
      <c r="C55" s="40" t="s">
        <v>172</v>
      </c>
      <c r="D55" s="40" t="s">
        <v>173</v>
      </c>
      <c r="E55" s="41" t="s">
        <v>181</v>
      </c>
      <c r="F55" s="42" t="s">
        <v>182</v>
      </c>
      <c r="G55" s="40" t="s">
        <v>6</v>
      </c>
      <c r="H55" s="42"/>
      <c r="I55" s="40"/>
      <c r="J55" s="40"/>
      <c r="K55" s="43" t="s">
        <v>176</v>
      </c>
    </row>
    <row r="56" spans="1:11" ht="45" customHeight="1" x14ac:dyDescent="0.3">
      <c r="A56" s="44">
        <v>54</v>
      </c>
      <c r="B56" s="44" t="s">
        <v>18</v>
      </c>
      <c r="C56" s="44" t="s">
        <v>183</v>
      </c>
      <c r="D56" s="44" t="s">
        <v>184</v>
      </c>
      <c r="E56" s="45" t="s">
        <v>185</v>
      </c>
      <c r="F56" s="46" t="s">
        <v>186</v>
      </c>
      <c r="G56" s="44" t="s">
        <v>6</v>
      </c>
      <c r="H56" s="46"/>
      <c r="I56" s="44"/>
      <c r="J56" s="44"/>
      <c r="K56" s="47" t="s">
        <v>187</v>
      </c>
    </row>
    <row r="57" spans="1:11" ht="45" customHeight="1" x14ac:dyDescent="0.3">
      <c r="A57" s="40">
        <v>55</v>
      </c>
      <c r="B57" s="40" t="s">
        <v>18</v>
      </c>
      <c r="C57" s="40" t="s">
        <v>183</v>
      </c>
      <c r="D57" s="40" t="s">
        <v>184</v>
      </c>
      <c r="E57" s="41" t="s">
        <v>188</v>
      </c>
      <c r="F57" s="42" t="s">
        <v>189</v>
      </c>
      <c r="G57" s="40" t="s">
        <v>6</v>
      </c>
      <c r="H57" s="42"/>
      <c r="I57" s="40"/>
      <c r="J57" s="40"/>
      <c r="K57" s="43" t="s">
        <v>187</v>
      </c>
    </row>
    <row r="58" spans="1:11" ht="45" customHeight="1" x14ac:dyDescent="0.3">
      <c r="A58" s="44">
        <v>56</v>
      </c>
      <c r="B58" s="44" t="s">
        <v>18</v>
      </c>
      <c r="C58" s="44" t="s">
        <v>183</v>
      </c>
      <c r="D58" s="44" t="s">
        <v>184</v>
      </c>
      <c r="E58" s="45" t="s">
        <v>190</v>
      </c>
      <c r="F58" s="46" t="s">
        <v>191</v>
      </c>
      <c r="G58" s="44" t="s">
        <v>6</v>
      </c>
      <c r="H58" s="46"/>
      <c r="I58" s="44"/>
      <c r="J58" s="44"/>
      <c r="K58" s="47" t="s">
        <v>187</v>
      </c>
    </row>
    <row r="59" spans="1:11" ht="45" customHeight="1" x14ac:dyDescent="0.3">
      <c r="A59" s="40">
        <v>57</v>
      </c>
      <c r="B59" s="40" t="s">
        <v>18</v>
      </c>
      <c r="C59" s="40" t="s">
        <v>183</v>
      </c>
      <c r="D59" s="40" t="s">
        <v>184</v>
      </c>
      <c r="E59" s="41" t="s">
        <v>192</v>
      </c>
      <c r="F59" s="42" t="s">
        <v>193</v>
      </c>
      <c r="G59" s="40" t="s">
        <v>6</v>
      </c>
      <c r="H59" s="42"/>
      <c r="I59" s="40"/>
      <c r="J59" s="40"/>
      <c r="K59" s="43" t="s">
        <v>187</v>
      </c>
    </row>
    <row r="60" spans="1:11" ht="45" customHeight="1" x14ac:dyDescent="0.3">
      <c r="A60" s="44">
        <v>58</v>
      </c>
      <c r="B60" s="44" t="s">
        <v>18</v>
      </c>
      <c r="C60" s="44" t="s">
        <v>194</v>
      </c>
      <c r="D60" s="44" t="s">
        <v>195</v>
      </c>
      <c r="E60" s="45" t="s">
        <v>196</v>
      </c>
      <c r="F60" s="46" t="s">
        <v>197</v>
      </c>
      <c r="G60" s="44" t="s">
        <v>6</v>
      </c>
      <c r="H60" s="46"/>
      <c r="I60" s="44"/>
      <c r="J60" s="44"/>
      <c r="K60" s="47" t="s">
        <v>198</v>
      </c>
    </row>
    <row r="61" spans="1:11" ht="45" customHeight="1" x14ac:dyDescent="0.3">
      <c r="A61" s="40">
        <v>59</v>
      </c>
      <c r="B61" s="40" t="s">
        <v>18</v>
      </c>
      <c r="C61" s="40" t="s">
        <v>194</v>
      </c>
      <c r="D61" s="40" t="s">
        <v>195</v>
      </c>
      <c r="E61" s="41" t="s">
        <v>199</v>
      </c>
      <c r="F61" s="42" t="s">
        <v>200</v>
      </c>
      <c r="G61" s="40" t="s">
        <v>6</v>
      </c>
      <c r="H61" s="42"/>
      <c r="I61" s="40"/>
      <c r="J61" s="40"/>
      <c r="K61" s="43" t="s">
        <v>198</v>
      </c>
    </row>
    <row r="62" spans="1:11" ht="45" customHeight="1" x14ac:dyDescent="0.3">
      <c r="A62" s="44">
        <v>60</v>
      </c>
      <c r="B62" s="44" t="s">
        <v>18</v>
      </c>
      <c r="C62" s="44" t="s">
        <v>194</v>
      </c>
      <c r="D62" s="44" t="s">
        <v>195</v>
      </c>
      <c r="E62" s="45" t="s">
        <v>201</v>
      </c>
      <c r="F62" s="46" t="s">
        <v>202</v>
      </c>
      <c r="G62" s="44" t="s">
        <v>6</v>
      </c>
      <c r="H62" s="46"/>
      <c r="I62" s="44"/>
      <c r="J62" s="44"/>
      <c r="K62" s="47" t="s">
        <v>198</v>
      </c>
    </row>
    <row r="63" spans="1:11" ht="45" customHeight="1" x14ac:dyDescent="0.3">
      <c r="A63" s="40">
        <v>61</v>
      </c>
      <c r="B63" s="40" t="s">
        <v>18</v>
      </c>
      <c r="C63" s="40" t="s">
        <v>194</v>
      </c>
      <c r="D63" s="40" t="s">
        <v>195</v>
      </c>
      <c r="E63" s="41" t="s">
        <v>203</v>
      </c>
      <c r="F63" s="42" t="s">
        <v>204</v>
      </c>
      <c r="G63" s="40" t="s">
        <v>6</v>
      </c>
      <c r="H63" s="42"/>
      <c r="I63" s="40"/>
      <c r="J63" s="40"/>
      <c r="K63" s="43" t="s">
        <v>198</v>
      </c>
    </row>
    <row r="64" spans="1:11" ht="45" customHeight="1" x14ac:dyDescent="0.3">
      <c r="A64" s="44">
        <v>62</v>
      </c>
      <c r="B64" s="44" t="s">
        <v>18</v>
      </c>
      <c r="C64" s="44" t="s">
        <v>205</v>
      </c>
      <c r="D64" s="44" t="s">
        <v>206</v>
      </c>
      <c r="E64" s="45" t="s">
        <v>207</v>
      </c>
      <c r="F64" s="46" t="s">
        <v>208</v>
      </c>
      <c r="G64" s="44" t="s">
        <v>6</v>
      </c>
      <c r="H64" s="46"/>
      <c r="I64" s="44"/>
      <c r="J64" s="44"/>
      <c r="K64" s="47" t="s">
        <v>209</v>
      </c>
    </row>
    <row r="65" spans="1:11" ht="45" customHeight="1" x14ac:dyDescent="0.3">
      <c r="A65" s="40">
        <v>63</v>
      </c>
      <c r="B65" s="40" t="s">
        <v>18</v>
      </c>
      <c r="C65" s="40" t="s">
        <v>205</v>
      </c>
      <c r="D65" s="40" t="s">
        <v>206</v>
      </c>
      <c r="E65" s="41" t="s">
        <v>210</v>
      </c>
      <c r="F65" s="42" t="s">
        <v>211</v>
      </c>
      <c r="G65" s="40" t="s">
        <v>6</v>
      </c>
      <c r="H65" s="42"/>
      <c r="I65" s="40"/>
      <c r="J65" s="40"/>
      <c r="K65" s="43" t="s">
        <v>209</v>
      </c>
    </row>
    <row r="66" spans="1:11" ht="45" customHeight="1" x14ac:dyDescent="0.3">
      <c r="A66" s="44">
        <v>64</v>
      </c>
      <c r="B66" s="44" t="s">
        <v>18</v>
      </c>
      <c r="C66" s="44" t="s">
        <v>205</v>
      </c>
      <c r="D66" s="44" t="s">
        <v>206</v>
      </c>
      <c r="E66" s="45" t="s">
        <v>212</v>
      </c>
      <c r="F66" s="46" t="s">
        <v>213</v>
      </c>
      <c r="G66" s="44" t="s">
        <v>6</v>
      </c>
      <c r="H66" s="46"/>
      <c r="I66" s="44"/>
      <c r="J66" s="44"/>
      <c r="K66" s="47" t="s">
        <v>209</v>
      </c>
    </row>
    <row r="67" spans="1:11" ht="45" customHeight="1" x14ac:dyDescent="0.3">
      <c r="A67" s="40">
        <v>65</v>
      </c>
      <c r="B67" s="40" t="s">
        <v>18</v>
      </c>
      <c r="C67" s="40" t="s">
        <v>214</v>
      </c>
      <c r="D67" s="40" t="s">
        <v>215</v>
      </c>
      <c r="E67" s="41" t="s">
        <v>216</v>
      </c>
      <c r="F67" s="42" t="s">
        <v>217</v>
      </c>
      <c r="G67" s="40" t="s">
        <v>6</v>
      </c>
      <c r="H67" s="42"/>
      <c r="I67" s="40"/>
      <c r="J67" s="40"/>
      <c r="K67" s="43" t="s">
        <v>218</v>
      </c>
    </row>
    <row r="68" spans="1:11" ht="45" customHeight="1" x14ac:dyDescent="0.3">
      <c r="A68" s="44">
        <v>66</v>
      </c>
      <c r="B68" s="44" t="s">
        <v>18</v>
      </c>
      <c r="C68" s="44" t="s">
        <v>214</v>
      </c>
      <c r="D68" s="44" t="s">
        <v>215</v>
      </c>
      <c r="E68" s="45" t="s">
        <v>219</v>
      </c>
      <c r="F68" s="46" t="s">
        <v>220</v>
      </c>
      <c r="G68" s="44" t="s">
        <v>6</v>
      </c>
      <c r="H68" s="46"/>
      <c r="I68" s="44"/>
      <c r="J68" s="44"/>
      <c r="K68" s="47" t="s">
        <v>218</v>
      </c>
    </row>
    <row r="69" spans="1:11" ht="45" customHeight="1" x14ac:dyDescent="0.3">
      <c r="A69" s="40">
        <v>67</v>
      </c>
      <c r="B69" s="40" t="s">
        <v>18</v>
      </c>
      <c r="C69" s="40" t="s">
        <v>214</v>
      </c>
      <c r="D69" s="40" t="s">
        <v>215</v>
      </c>
      <c r="E69" s="41" t="s">
        <v>221</v>
      </c>
      <c r="F69" s="42" t="s">
        <v>222</v>
      </c>
      <c r="G69" s="40" t="s">
        <v>6</v>
      </c>
      <c r="H69" s="42"/>
      <c r="I69" s="40"/>
      <c r="J69" s="40"/>
      <c r="K69" s="43" t="s">
        <v>218</v>
      </c>
    </row>
    <row r="70" spans="1:11" ht="45" customHeight="1" x14ac:dyDescent="0.3">
      <c r="A70" s="44">
        <v>68</v>
      </c>
      <c r="B70" s="44" t="s">
        <v>18</v>
      </c>
      <c r="C70" s="44" t="s">
        <v>214</v>
      </c>
      <c r="D70" s="44" t="s">
        <v>215</v>
      </c>
      <c r="E70" s="45" t="s">
        <v>223</v>
      </c>
      <c r="F70" s="46" t="s">
        <v>224</v>
      </c>
      <c r="G70" s="44" t="s">
        <v>6</v>
      </c>
      <c r="H70" s="46"/>
      <c r="I70" s="44"/>
      <c r="J70" s="44"/>
      <c r="K70" s="47" t="s">
        <v>218</v>
      </c>
    </row>
    <row r="71" spans="1:11" ht="45" customHeight="1" x14ac:dyDescent="0.3">
      <c r="A71" s="40">
        <v>69</v>
      </c>
      <c r="B71" s="40" t="s">
        <v>18</v>
      </c>
      <c r="C71" s="40" t="s">
        <v>225</v>
      </c>
      <c r="D71" s="40" t="s">
        <v>226</v>
      </c>
      <c r="E71" s="41" t="s">
        <v>227</v>
      </c>
      <c r="F71" s="42" t="s">
        <v>228</v>
      </c>
      <c r="G71" s="40" t="s">
        <v>6</v>
      </c>
      <c r="H71" s="42"/>
      <c r="I71" s="40"/>
      <c r="J71" s="40"/>
      <c r="K71" s="43" t="s">
        <v>229</v>
      </c>
    </row>
    <row r="72" spans="1:11" ht="45" customHeight="1" x14ac:dyDescent="0.3">
      <c r="A72" s="44">
        <v>70</v>
      </c>
      <c r="B72" s="44" t="s">
        <v>18</v>
      </c>
      <c r="C72" s="44" t="s">
        <v>225</v>
      </c>
      <c r="D72" s="44" t="s">
        <v>226</v>
      </c>
      <c r="E72" s="45" t="s">
        <v>230</v>
      </c>
      <c r="F72" s="46" t="s">
        <v>231</v>
      </c>
      <c r="G72" s="44" t="s">
        <v>6</v>
      </c>
      <c r="H72" s="46"/>
      <c r="I72" s="44"/>
      <c r="J72" s="44"/>
      <c r="K72" s="47" t="s">
        <v>229</v>
      </c>
    </row>
    <row r="73" spans="1:11" ht="45" customHeight="1" x14ac:dyDescent="0.3">
      <c r="A73" s="40">
        <v>71</v>
      </c>
      <c r="B73" s="40" t="s">
        <v>18</v>
      </c>
      <c r="C73" s="40" t="s">
        <v>225</v>
      </c>
      <c r="D73" s="40" t="s">
        <v>226</v>
      </c>
      <c r="E73" s="41" t="s">
        <v>232</v>
      </c>
      <c r="F73" s="42" t="s">
        <v>233</v>
      </c>
      <c r="G73" s="40" t="s">
        <v>6</v>
      </c>
      <c r="H73" s="42"/>
      <c r="I73" s="40"/>
      <c r="J73" s="40"/>
      <c r="K73" s="43" t="s">
        <v>229</v>
      </c>
    </row>
    <row r="74" spans="1:11" ht="45" customHeight="1" x14ac:dyDescent="0.3">
      <c r="A74" s="44">
        <v>72</v>
      </c>
      <c r="B74" s="44" t="s">
        <v>18</v>
      </c>
      <c r="C74" s="44" t="s">
        <v>225</v>
      </c>
      <c r="D74" s="44" t="s">
        <v>226</v>
      </c>
      <c r="E74" s="45" t="s">
        <v>234</v>
      </c>
      <c r="F74" s="46" t="s">
        <v>235</v>
      </c>
      <c r="G74" s="44" t="s">
        <v>6</v>
      </c>
      <c r="H74" s="46"/>
      <c r="I74" s="44"/>
      <c r="J74" s="44"/>
      <c r="K74" s="47" t="s">
        <v>229</v>
      </c>
    </row>
    <row r="75" spans="1:11" ht="45" customHeight="1" x14ac:dyDescent="0.3">
      <c r="A75" s="40">
        <v>73</v>
      </c>
      <c r="B75" s="40" t="s">
        <v>18</v>
      </c>
      <c r="C75" s="40" t="s">
        <v>236</v>
      </c>
      <c r="D75" s="40" t="s">
        <v>237</v>
      </c>
      <c r="E75" s="41" t="s">
        <v>238</v>
      </c>
      <c r="F75" s="42" t="s">
        <v>239</v>
      </c>
      <c r="G75" s="40" t="s">
        <v>6</v>
      </c>
      <c r="H75" s="42"/>
      <c r="I75" s="40"/>
      <c r="J75" s="40"/>
      <c r="K75" s="43" t="s">
        <v>240</v>
      </c>
    </row>
    <row r="76" spans="1:11" ht="45" customHeight="1" x14ac:dyDescent="0.3">
      <c r="A76" s="44">
        <v>74</v>
      </c>
      <c r="B76" s="44" t="s">
        <v>18</v>
      </c>
      <c r="C76" s="44" t="s">
        <v>236</v>
      </c>
      <c r="D76" s="44" t="s">
        <v>237</v>
      </c>
      <c r="E76" s="45" t="s">
        <v>241</v>
      </c>
      <c r="F76" s="46" t="s">
        <v>242</v>
      </c>
      <c r="G76" s="44" t="s">
        <v>6</v>
      </c>
      <c r="H76" s="46"/>
      <c r="I76" s="44"/>
      <c r="J76" s="44"/>
      <c r="K76" s="47" t="s">
        <v>240</v>
      </c>
    </row>
    <row r="77" spans="1:11" ht="45" customHeight="1" x14ac:dyDescent="0.3">
      <c r="A77" s="40">
        <v>75</v>
      </c>
      <c r="B77" s="40" t="s">
        <v>18</v>
      </c>
      <c r="C77" s="40" t="s">
        <v>236</v>
      </c>
      <c r="D77" s="40" t="s">
        <v>237</v>
      </c>
      <c r="E77" s="41" t="s">
        <v>243</v>
      </c>
      <c r="F77" s="42" t="s">
        <v>244</v>
      </c>
      <c r="G77" s="40" t="s">
        <v>6</v>
      </c>
      <c r="H77" s="42"/>
      <c r="I77" s="40"/>
      <c r="J77" s="40"/>
      <c r="K77" s="43" t="s">
        <v>240</v>
      </c>
    </row>
    <row r="78" spans="1:11" ht="45" customHeight="1" x14ac:dyDescent="0.3">
      <c r="A78" s="44">
        <v>76</v>
      </c>
      <c r="B78" s="44" t="s">
        <v>18</v>
      </c>
      <c r="C78" s="44" t="s">
        <v>236</v>
      </c>
      <c r="D78" s="44" t="s">
        <v>237</v>
      </c>
      <c r="E78" s="45" t="s">
        <v>245</v>
      </c>
      <c r="F78" s="46" t="s">
        <v>246</v>
      </c>
      <c r="G78" s="44" t="s">
        <v>6</v>
      </c>
      <c r="H78" s="46"/>
      <c r="I78" s="44"/>
      <c r="J78" s="44"/>
      <c r="K78" s="47" t="s">
        <v>240</v>
      </c>
    </row>
    <row r="79" spans="1:11" ht="45" customHeight="1" x14ac:dyDescent="0.3">
      <c r="A79" s="40">
        <v>77</v>
      </c>
      <c r="B79" s="40" t="s">
        <v>18</v>
      </c>
      <c r="C79" s="40" t="s">
        <v>247</v>
      </c>
      <c r="D79" s="40" t="s">
        <v>248</v>
      </c>
      <c r="E79" s="41" t="s">
        <v>249</v>
      </c>
      <c r="F79" s="42" t="s">
        <v>250</v>
      </c>
      <c r="G79" s="40" t="s">
        <v>6</v>
      </c>
      <c r="H79" s="42"/>
      <c r="I79" s="40"/>
      <c r="J79" s="40"/>
      <c r="K79" s="43" t="s">
        <v>251</v>
      </c>
    </row>
    <row r="80" spans="1:11" ht="45" customHeight="1" x14ac:dyDescent="0.3">
      <c r="A80" s="44">
        <v>78</v>
      </c>
      <c r="B80" s="44" t="s">
        <v>18</v>
      </c>
      <c r="C80" s="44" t="s">
        <v>247</v>
      </c>
      <c r="D80" s="44" t="s">
        <v>248</v>
      </c>
      <c r="E80" s="45" t="s">
        <v>252</v>
      </c>
      <c r="F80" s="46" t="s">
        <v>253</v>
      </c>
      <c r="G80" s="44" t="s">
        <v>6</v>
      </c>
      <c r="H80" s="46"/>
      <c r="I80" s="44"/>
      <c r="J80" s="44"/>
      <c r="K80" s="47" t="s">
        <v>251</v>
      </c>
    </row>
    <row r="81" spans="1:11" ht="45" customHeight="1" x14ac:dyDescent="0.3">
      <c r="A81" s="40">
        <v>79</v>
      </c>
      <c r="B81" s="40" t="s">
        <v>18</v>
      </c>
      <c r="C81" s="40" t="s">
        <v>247</v>
      </c>
      <c r="D81" s="40" t="s">
        <v>248</v>
      </c>
      <c r="E81" s="41" t="s">
        <v>254</v>
      </c>
      <c r="F81" s="42" t="s">
        <v>255</v>
      </c>
      <c r="G81" s="40" t="s">
        <v>6</v>
      </c>
      <c r="H81" s="42"/>
      <c r="I81" s="40"/>
      <c r="J81" s="40"/>
      <c r="K81" s="43" t="s">
        <v>251</v>
      </c>
    </row>
    <row r="82" spans="1:11" ht="45" customHeight="1" x14ac:dyDescent="0.3">
      <c r="A82" s="44">
        <v>80</v>
      </c>
      <c r="B82" s="44" t="s">
        <v>18</v>
      </c>
      <c r="C82" s="44" t="s">
        <v>247</v>
      </c>
      <c r="D82" s="44" t="s">
        <v>248</v>
      </c>
      <c r="E82" s="45" t="s">
        <v>256</v>
      </c>
      <c r="F82" s="46" t="s">
        <v>257</v>
      </c>
      <c r="G82" s="44" t="s">
        <v>6</v>
      </c>
      <c r="H82" s="46"/>
      <c r="I82" s="44"/>
      <c r="J82" s="44"/>
      <c r="K82" s="47" t="s">
        <v>251</v>
      </c>
    </row>
    <row r="83" spans="1:11" ht="45" customHeight="1" x14ac:dyDescent="0.3">
      <c r="A83" s="40">
        <v>81</v>
      </c>
      <c r="B83" s="40" t="s">
        <v>18</v>
      </c>
      <c r="C83" s="40" t="s">
        <v>258</v>
      </c>
      <c r="D83" s="40" t="s">
        <v>259</v>
      </c>
      <c r="E83" s="41" t="s">
        <v>260</v>
      </c>
      <c r="F83" s="42" t="s">
        <v>261</v>
      </c>
      <c r="G83" s="40" t="s">
        <v>6</v>
      </c>
      <c r="H83" s="42"/>
      <c r="I83" s="40"/>
      <c r="J83" s="40"/>
      <c r="K83" s="43" t="s">
        <v>262</v>
      </c>
    </row>
    <row r="84" spans="1:11" ht="45" customHeight="1" x14ac:dyDescent="0.3">
      <c r="A84" s="44">
        <v>82</v>
      </c>
      <c r="B84" s="44" t="s">
        <v>18</v>
      </c>
      <c r="C84" s="44" t="s">
        <v>258</v>
      </c>
      <c r="D84" s="44" t="s">
        <v>259</v>
      </c>
      <c r="E84" s="45" t="s">
        <v>263</v>
      </c>
      <c r="F84" s="46" t="s">
        <v>264</v>
      </c>
      <c r="G84" s="44" t="s">
        <v>6</v>
      </c>
      <c r="H84" s="46"/>
      <c r="I84" s="44"/>
      <c r="J84" s="44"/>
      <c r="K84" s="47" t="s">
        <v>262</v>
      </c>
    </row>
    <row r="85" spans="1:11" ht="45" customHeight="1" x14ac:dyDescent="0.3">
      <c r="A85" s="40">
        <v>83</v>
      </c>
      <c r="B85" s="40" t="s">
        <v>18</v>
      </c>
      <c r="C85" s="40" t="s">
        <v>258</v>
      </c>
      <c r="D85" s="40" t="s">
        <v>259</v>
      </c>
      <c r="E85" s="41" t="s">
        <v>265</v>
      </c>
      <c r="F85" s="42" t="s">
        <v>266</v>
      </c>
      <c r="G85" s="40" t="s">
        <v>6</v>
      </c>
      <c r="H85" s="42"/>
      <c r="I85" s="40"/>
      <c r="J85" s="40"/>
      <c r="K85" s="43" t="s">
        <v>262</v>
      </c>
    </row>
    <row r="86" spans="1:11" ht="45" customHeight="1" x14ac:dyDescent="0.3">
      <c r="A86" s="44">
        <v>84</v>
      </c>
      <c r="B86" s="44" t="s">
        <v>18</v>
      </c>
      <c r="C86" s="44" t="s">
        <v>258</v>
      </c>
      <c r="D86" s="44" t="s">
        <v>259</v>
      </c>
      <c r="E86" s="45" t="s">
        <v>267</v>
      </c>
      <c r="F86" s="46" t="s">
        <v>268</v>
      </c>
      <c r="G86" s="44" t="s">
        <v>6</v>
      </c>
      <c r="H86" s="46"/>
      <c r="I86" s="44"/>
      <c r="J86" s="44"/>
      <c r="K86" s="47" t="s">
        <v>262</v>
      </c>
    </row>
    <row r="87" spans="1:11" ht="45" customHeight="1" x14ac:dyDescent="0.3">
      <c r="A87" s="40">
        <v>85</v>
      </c>
      <c r="B87" s="40" t="s">
        <v>18</v>
      </c>
      <c r="C87" s="40" t="s">
        <v>269</v>
      </c>
      <c r="D87" s="40" t="s">
        <v>270</v>
      </c>
      <c r="E87" s="41" t="s">
        <v>271</v>
      </c>
      <c r="F87" s="42" t="s">
        <v>272</v>
      </c>
      <c r="G87" s="40" t="s">
        <v>6</v>
      </c>
      <c r="H87" s="42"/>
      <c r="I87" s="40"/>
      <c r="J87" s="40"/>
      <c r="K87" s="43" t="s">
        <v>273</v>
      </c>
    </row>
    <row r="88" spans="1:11" ht="45" customHeight="1" x14ac:dyDescent="0.3">
      <c r="A88" s="44">
        <v>86</v>
      </c>
      <c r="B88" s="44" t="s">
        <v>18</v>
      </c>
      <c r="C88" s="44" t="s">
        <v>269</v>
      </c>
      <c r="D88" s="44" t="s">
        <v>270</v>
      </c>
      <c r="E88" s="45" t="s">
        <v>274</v>
      </c>
      <c r="F88" s="46" t="s">
        <v>275</v>
      </c>
      <c r="G88" s="44" t="s">
        <v>6</v>
      </c>
      <c r="H88" s="46"/>
      <c r="I88" s="44"/>
      <c r="J88" s="44"/>
      <c r="K88" s="47" t="s">
        <v>273</v>
      </c>
    </row>
    <row r="89" spans="1:11" ht="45" customHeight="1" x14ac:dyDescent="0.3">
      <c r="A89" s="40">
        <v>87</v>
      </c>
      <c r="B89" s="40" t="s">
        <v>18</v>
      </c>
      <c r="C89" s="40" t="s">
        <v>269</v>
      </c>
      <c r="D89" s="40" t="s">
        <v>270</v>
      </c>
      <c r="E89" s="41" t="s">
        <v>276</v>
      </c>
      <c r="F89" s="42" t="s">
        <v>277</v>
      </c>
      <c r="G89" s="40" t="s">
        <v>6</v>
      </c>
      <c r="H89" s="42"/>
      <c r="I89" s="40"/>
      <c r="J89" s="40"/>
      <c r="K89" s="43" t="s">
        <v>273</v>
      </c>
    </row>
    <row r="90" spans="1:11" ht="45" customHeight="1" x14ac:dyDescent="0.3">
      <c r="A90" s="44">
        <v>88</v>
      </c>
      <c r="B90" s="44" t="s">
        <v>18</v>
      </c>
      <c r="C90" s="44" t="s">
        <v>269</v>
      </c>
      <c r="D90" s="44" t="s">
        <v>270</v>
      </c>
      <c r="E90" s="45" t="s">
        <v>278</v>
      </c>
      <c r="F90" s="46" t="s">
        <v>279</v>
      </c>
      <c r="G90" s="44" t="s">
        <v>6</v>
      </c>
      <c r="H90" s="46"/>
      <c r="I90" s="44"/>
      <c r="J90" s="44"/>
      <c r="K90" s="47" t="s">
        <v>273</v>
      </c>
    </row>
    <row r="91" spans="1:11" ht="45" customHeight="1" x14ac:dyDescent="0.3">
      <c r="A91" s="40">
        <v>89</v>
      </c>
      <c r="B91" s="40" t="s">
        <v>18</v>
      </c>
      <c r="C91" s="40" t="s">
        <v>280</v>
      </c>
      <c r="D91" s="40" t="s">
        <v>281</v>
      </c>
      <c r="E91" s="41" t="s">
        <v>282</v>
      </c>
      <c r="F91" s="42" t="s">
        <v>283</v>
      </c>
      <c r="G91" s="40" t="s">
        <v>6</v>
      </c>
      <c r="H91" s="42"/>
      <c r="I91" s="40"/>
      <c r="J91" s="40"/>
      <c r="K91" s="43" t="s">
        <v>284</v>
      </c>
    </row>
    <row r="92" spans="1:11" ht="45" customHeight="1" x14ac:dyDescent="0.3">
      <c r="A92" s="44">
        <v>90</v>
      </c>
      <c r="B92" s="44" t="s">
        <v>18</v>
      </c>
      <c r="C92" s="44" t="s">
        <v>280</v>
      </c>
      <c r="D92" s="44" t="s">
        <v>281</v>
      </c>
      <c r="E92" s="45" t="s">
        <v>285</v>
      </c>
      <c r="F92" s="46" t="s">
        <v>286</v>
      </c>
      <c r="G92" s="44" t="s">
        <v>6</v>
      </c>
      <c r="H92" s="46"/>
      <c r="I92" s="44"/>
      <c r="J92" s="44"/>
      <c r="K92" s="47" t="s">
        <v>284</v>
      </c>
    </row>
    <row r="93" spans="1:11" ht="45" customHeight="1" x14ac:dyDescent="0.3">
      <c r="A93" s="40">
        <v>91</v>
      </c>
      <c r="B93" s="40" t="s">
        <v>18</v>
      </c>
      <c r="C93" s="40" t="s">
        <v>280</v>
      </c>
      <c r="D93" s="40" t="s">
        <v>281</v>
      </c>
      <c r="E93" s="41" t="s">
        <v>287</v>
      </c>
      <c r="F93" s="42" t="s">
        <v>288</v>
      </c>
      <c r="G93" s="40" t="s">
        <v>6</v>
      </c>
      <c r="H93" s="42"/>
      <c r="I93" s="40"/>
      <c r="J93" s="40"/>
      <c r="K93" s="43" t="s">
        <v>284</v>
      </c>
    </row>
    <row r="94" spans="1:11" ht="45" customHeight="1" x14ac:dyDescent="0.3">
      <c r="A94" s="44">
        <v>92</v>
      </c>
      <c r="B94" s="44" t="s">
        <v>18</v>
      </c>
      <c r="C94" s="44" t="s">
        <v>280</v>
      </c>
      <c r="D94" s="44" t="s">
        <v>281</v>
      </c>
      <c r="E94" s="45" t="s">
        <v>289</v>
      </c>
      <c r="F94" s="46" t="s">
        <v>290</v>
      </c>
      <c r="G94" s="44" t="s">
        <v>6</v>
      </c>
      <c r="H94" s="46"/>
      <c r="I94" s="44"/>
      <c r="J94" s="44"/>
      <c r="K94" s="47" t="s">
        <v>284</v>
      </c>
    </row>
    <row r="95" spans="1:11" ht="45" customHeight="1" x14ac:dyDescent="0.3">
      <c r="A95" s="40">
        <v>93</v>
      </c>
      <c r="B95" s="40" t="s">
        <v>18</v>
      </c>
      <c r="C95" s="40" t="s">
        <v>291</v>
      </c>
      <c r="D95" s="40" t="s">
        <v>292</v>
      </c>
      <c r="E95" s="41" t="s">
        <v>293</v>
      </c>
      <c r="F95" s="42" t="s">
        <v>294</v>
      </c>
      <c r="G95" s="40" t="s">
        <v>6</v>
      </c>
      <c r="H95" s="42"/>
      <c r="I95" s="40"/>
      <c r="J95" s="40"/>
      <c r="K95" s="43" t="s">
        <v>295</v>
      </c>
    </row>
    <row r="96" spans="1:11" ht="45" customHeight="1" x14ac:dyDescent="0.3">
      <c r="A96" s="44">
        <v>94</v>
      </c>
      <c r="B96" s="44" t="s">
        <v>18</v>
      </c>
      <c r="C96" s="44" t="s">
        <v>291</v>
      </c>
      <c r="D96" s="44" t="s">
        <v>292</v>
      </c>
      <c r="E96" s="45" t="s">
        <v>296</v>
      </c>
      <c r="F96" s="46" t="s">
        <v>297</v>
      </c>
      <c r="G96" s="44" t="s">
        <v>6</v>
      </c>
      <c r="H96" s="46"/>
      <c r="I96" s="44"/>
      <c r="J96" s="44"/>
      <c r="K96" s="47" t="s">
        <v>295</v>
      </c>
    </row>
    <row r="97" spans="1:11" ht="45" customHeight="1" x14ac:dyDescent="0.3">
      <c r="A97" s="40">
        <v>95</v>
      </c>
      <c r="B97" s="40" t="s">
        <v>18</v>
      </c>
      <c r="C97" s="40" t="s">
        <v>291</v>
      </c>
      <c r="D97" s="40" t="s">
        <v>292</v>
      </c>
      <c r="E97" s="41" t="s">
        <v>298</v>
      </c>
      <c r="F97" s="42" t="s">
        <v>299</v>
      </c>
      <c r="G97" s="40" t="s">
        <v>6</v>
      </c>
      <c r="H97" s="42"/>
      <c r="I97" s="40"/>
      <c r="J97" s="40"/>
      <c r="K97" s="43" t="s">
        <v>295</v>
      </c>
    </row>
    <row r="98" spans="1:11" ht="45" customHeight="1" x14ac:dyDescent="0.3">
      <c r="A98" s="44">
        <v>96</v>
      </c>
      <c r="B98" s="44" t="s">
        <v>18</v>
      </c>
      <c r="C98" s="44" t="s">
        <v>291</v>
      </c>
      <c r="D98" s="44" t="s">
        <v>292</v>
      </c>
      <c r="E98" s="45" t="s">
        <v>300</v>
      </c>
      <c r="F98" s="46" t="s">
        <v>301</v>
      </c>
      <c r="G98" s="44" t="s">
        <v>6</v>
      </c>
      <c r="H98" s="46"/>
      <c r="I98" s="44"/>
      <c r="J98" s="44"/>
      <c r="K98" s="47" t="s">
        <v>295</v>
      </c>
    </row>
    <row r="99" spans="1:11" ht="45" customHeight="1" x14ac:dyDescent="0.3">
      <c r="A99" s="40">
        <v>97</v>
      </c>
      <c r="B99" s="40" t="s">
        <v>20</v>
      </c>
      <c r="C99" s="40" t="s">
        <v>302</v>
      </c>
      <c r="D99" s="40" t="s">
        <v>303</v>
      </c>
      <c r="E99" s="41" t="s">
        <v>304</v>
      </c>
      <c r="F99" s="42" t="s">
        <v>305</v>
      </c>
      <c r="G99" s="40" t="s">
        <v>6</v>
      </c>
      <c r="H99" s="42"/>
      <c r="I99" s="40"/>
      <c r="J99" s="40"/>
      <c r="K99" s="43" t="s">
        <v>306</v>
      </c>
    </row>
    <row r="100" spans="1:11" ht="45" customHeight="1" x14ac:dyDescent="0.3">
      <c r="A100" s="44">
        <v>98</v>
      </c>
      <c r="B100" s="44" t="s">
        <v>20</v>
      </c>
      <c r="C100" s="44" t="s">
        <v>302</v>
      </c>
      <c r="D100" s="44" t="s">
        <v>303</v>
      </c>
      <c r="E100" s="45" t="s">
        <v>307</v>
      </c>
      <c r="F100" s="46" t="s">
        <v>308</v>
      </c>
      <c r="G100" s="44" t="s">
        <v>6</v>
      </c>
      <c r="H100" s="46"/>
      <c r="I100" s="44"/>
      <c r="J100" s="44"/>
      <c r="K100" s="47" t="s">
        <v>306</v>
      </c>
    </row>
    <row r="101" spans="1:11" ht="45" customHeight="1" x14ac:dyDescent="0.3">
      <c r="A101" s="40">
        <v>99</v>
      </c>
      <c r="B101" s="40" t="s">
        <v>20</v>
      </c>
      <c r="C101" s="40" t="s">
        <v>302</v>
      </c>
      <c r="D101" s="40" t="s">
        <v>303</v>
      </c>
      <c r="E101" s="41" t="s">
        <v>309</v>
      </c>
      <c r="F101" s="42" t="s">
        <v>310</v>
      </c>
      <c r="G101" s="40" t="s">
        <v>6</v>
      </c>
      <c r="H101" s="42"/>
      <c r="I101" s="40"/>
      <c r="J101" s="40"/>
      <c r="K101" s="43" t="s">
        <v>306</v>
      </c>
    </row>
    <row r="102" spans="1:11" ht="45" customHeight="1" x14ac:dyDescent="0.3">
      <c r="A102" s="44">
        <v>100</v>
      </c>
      <c r="B102" s="44" t="s">
        <v>20</v>
      </c>
      <c r="C102" s="44" t="s">
        <v>302</v>
      </c>
      <c r="D102" s="44" t="s">
        <v>303</v>
      </c>
      <c r="E102" s="45" t="s">
        <v>311</v>
      </c>
      <c r="F102" s="46" t="s">
        <v>312</v>
      </c>
      <c r="G102" s="44" t="s">
        <v>6</v>
      </c>
      <c r="H102" s="46"/>
      <c r="I102" s="44"/>
      <c r="J102" s="44"/>
      <c r="K102" s="47" t="s">
        <v>306</v>
      </c>
    </row>
    <row r="103" spans="1:11" ht="45" customHeight="1" x14ac:dyDescent="0.3">
      <c r="A103" s="40">
        <v>101</v>
      </c>
      <c r="B103" s="40" t="s">
        <v>22</v>
      </c>
      <c r="C103" s="40" t="s">
        <v>313</v>
      </c>
      <c r="D103" s="40" t="s">
        <v>314</v>
      </c>
      <c r="E103" s="41" t="s">
        <v>315</v>
      </c>
      <c r="F103" s="42" t="s">
        <v>316</v>
      </c>
      <c r="G103" s="40" t="s">
        <v>6</v>
      </c>
      <c r="H103" s="42"/>
      <c r="I103" s="40"/>
      <c r="J103" s="40"/>
      <c r="K103" s="43" t="s">
        <v>317</v>
      </c>
    </row>
    <row r="104" spans="1:11" ht="45" customHeight="1" x14ac:dyDescent="0.3">
      <c r="A104" s="44">
        <v>102</v>
      </c>
      <c r="B104" s="44" t="s">
        <v>22</v>
      </c>
      <c r="C104" s="44" t="s">
        <v>313</v>
      </c>
      <c r="D104" s="44" t="s">
        <v>314</v>
      </c>
      <c r="E104" s="45" t="s">
        <v>318</v>
      </c>
      <c r="F104" s="46" t="s">
        <v>319</v>
      </c>
      <c r="G104" s="44" t="s">
        <v>6</v>
      </c>
      <c r="H104" s="46"/>
      <c r="I104" s="44"/>
      <c r="J104" s="44"/>
      <c r="K104" s="47" t="s">
        <v>317</v>
      </c>
    </row>
    <row r="105" spans="1:11" ht="45" customHeight="1" x14ac:dyDescent="0.3">
      <c r="A105" s="40">
        <v>103</v>
      </c>
      <c r="B105" s="40" t="s">
        <v>22</v>
      </c>
      <c r="C105" s="40" t="s">
        <v>313</v>
      </c>
      <c r="D105" s="40" t="s">
        <v>314</v>
      </c>
      <c r="E105" s="41" t="s">
        <v>320</v>
      </c>
      <c r="F105" s="42" t="s">
        <v>321</v>
      </c>
      <c r="G105" s="40" t="s">
        <v>6</v>
      </c>
      <c r="H105" s="42"/>
      <c r="I105" s="40"/>
      <c r="J105" s="40"/>
      <c r="K105" s="43" t="s">
        <v>317</v>
      </c>
    </row>
    <row r="106" spans="1:11" ht="45" customHeight="1" x14ac:dyDescent="0.3">
      <c r="A106" s="44">
        <v>104</v>
      </c>
      <c r="B106" s="44" t="s">
        <v>22</v>
      </c>
      <c r="C106" s="44" t="s">
        <v>313</v>
      </c>
      <c r="D106" s="44" t="s">
        <v>314</v>
      </c>
      <c r="E106" s="45" t="s">
        <v>322</v>
      </c>
      <c r="F106" s="46" t="s">
        <v>323</v>
      </c>
      <c r="G106" s="44" t="s">
        <v>6</v>
      </c>
      <c r="H106" s="46"/>
      <c r="I106" s="44"/>
      <c r="J106" s="44"/>
      <c r="K106" s="47" t="s">
        <v>317</v>
      </c>
    </row>
    <row r="107" spans="1:11" ht="45" customHeight="1" x14ac:dyDescent="0.3">
      <c r="A107" s="40">
        <v>105</v>
      </c>
      <c r="B107" s="40" t="s">
        <v>22</v>
      </c>
      <c r="C107" s="40" t="s">
        <v>324</v>
      </c>
      <c r="D107" s="40" t="s">
        <v>325</v>
      </c>
      <c r="E107" s="41" t="s">
        <v>326</v>
      </c>
      <c r="F107" s="42" t="s">
        <v>327</v>
      </c>
      <c r="G107" s="40" t="s">
        <v>6</v>
      </c>
      <c r="H107" s="42"/>
      <c r="I107" s="40"/>
      <c r="J107" s="40"/>
      <c r="K107" s="43" t="s">
        <v>328</v>
      </c>
    </row>
    <row r="108" spans="1:11" ht="45" customHeight="1" x14ac:dyDescent="0.3">
      <c r="A108" s="44">
        <v>106</v>
      </c>
      <c r="B108" s="44" t="s">
        <v>22</v>
      </c>
      <c r="C108" s="44" t="s">
        <v>324</v>
      </c>
      <c r="D108" s="44" t="s">
        <v>325</v>
      </c>
      <c r="E108" s="45" t="s">
        <v>329</v>
      </c>
      <c r="F108" s="46" t="s">
        <v>330</v>
      </c>
      <c r="G108" s="44" t="s">
        <v>6</v>
      </c>
      <c r="H108" s="46"/>
      <c r="I108" s="44"/>
      <c r="J108" s="44"/>
      <c r="K108" s="47" t="s">
        <v>328</v>
      </c>
    </row>
    <row r="109" spans="1:11" ht="45" customHeight="1" x14ac:dyDescent="0.3">
      <c r="A109" s="40">
        <v>107</v>
      </c>
      <c r="B109" s="40" t="s">
        <v>22</v>
      </c>
      <c r="C109" s="40" t="s">
        <v>324</v>
      </c>
      <c r="D109" s="40" t="s">
        <v>325</v>
      </c>
      <c r="E109" s="41" t="s">
        <v>331</v>
      </c>
      <c r="F109" s="42" t="s">
        <v>332</v>
      </c>
      <c r="G109" s="40" t="s">
        <v>6</v>
      </c>
      <c r="H109" s="42"/>
      <c r="I109" s="40"/>
      <c r="J109" s="40"/>
      <c r="K109" s="43" t="s">
        <v>328</v>
      </c>
    </row>
    <row r="110" spans="1:11" ht="45" customHeight="1" x14ac:dyDescent="0.3">
      <c r="A110" s="44">
        <v>108</v>
      </c>
      <c r="B110" s="44" t="s">
        <v>22</v>
      </c>
      <c r="C110" s="44" t="s">
        <v>324</v>
      </c>
      <c r="D110" s="44" t="s">
        <v>325</v>
      </c>
      <c r="E110" s="45" t="s">
        <v>333</v>
      </c>
      <c r="F110" s="46" t="s">
        <v>334</v>
      </c>
      <c r="G110" s="44" t="s">
        <v>6</v>
      </c>
      <c r="H110" s="46"/>
      <c r="I110" s="44"/>
      <c r="J110" s="44"/>
      <c r="K110" s="47" t="s">
        <v>328</v>
      </c>
    </row>
  </sheetData>
  <autoFilter ref="A2:K110" xr:uid="{00000000-0009-0000-0000-000001000000}"/>
  <mergeCells count="1">
    <mergeCell ref="A1:K1"/>
  </mergeCells>
  <dataValidations count="1">
    <dataValidation type="list" allowBlank="1" error="Please select a valid status" sqref="G3:G110" xr:uid="{00000000-0002-0000-0100-000000000000}">
      <formula1>"Not Started,In Progress,Implemented,Not Applicable"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B2D8E"/>
  </sheetPr>
  <dimension ref="A1:L8"/>
  <sheetViews>
    <sheetView zoomScaleNormal="100" workbookViewId="0"/>
  </sheetViews>
  <sheetFormatPr defaultColWidth="8.6640625" defaultRowHeight="14.4" x14ac:dyDescent="0.3"/>
  <cols>
    <col min="1" max="10" width="14" customWidth="1"/>
  </cols>
  <sheetData>
    <row r="1" spans="1:12" ht="39.75" customHeight="1" x14ac:dyDescent="0.3">
      <c r="A1" s="1" t="s">
        <v>335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3" t="s">
        <v>336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spans="1:12" x14ac:dyDescent="0.3">
      <c r="A4" s="48" t="s">
        <v>30</v>
      </c>
      <c r="B4" s="48" t="s">
        <v>337</v>
      </c>
      <c r="D4" s="48" t="s">
        <v>10</v>
      </c>
      <c r="E4" s="48" t="s">
        <v>4</v>
      </c>
      <c r="F4" s="48" t="s">
        <v>5</v>
      </c>
      <c r="G4" s="48" t="s">
        <v>6</v>
      </c>
      <c r="I4" s="48" t="s">
        <v>10</v>
      </c>
      <c r="J4" s="48" t="s">
        <v>8</v>
      </c>
    </row>
    <row r="5" spans="1:12" x14ac:dyDescent="0.3">
      <c r="A5" t="s">
        <v>4</v>
      </c>
      <c r="B5">
        <f>COUNTIF('Controls Tracker'!G3:G110,"Implemented")</f>
        <v>0</v>
      </c>
      <c r="D5" t="s">
        <v>338</v>
      </c>
      <c r="E5">
        <f>COUNTIFS('Controls Tracker'!B3:B110,"Cybersecurity Governance",'Controls Tracker'!G3:G110,"Implemented")</f>
        <v>0</v>
      </c>
      <c r="F5">
        <f>COUNTIFS('Controls Tracker'!B3:B110,"Cybersecurity Governance",'Controls Tracker'!G3:G110,"In Progress")</f>
        <v>0</v>
      </c>
      <c r="G5">
        <f>COUNTIFS('Controls Tracker'!B3:B110,"Cybersecurity Governance",'Controls Tracker'!G3:G110,"Not Started")</f>
        <v>35</v>
      </c>
      <c r="I5" t="s">
        <v>338</v>
      </c>
      <c r="J5" s="49">
        <f>IF(COUNTIF('Controls Tracker'!B3:B110,"Cybersecurity Governance")=0,0,COUNTIFS('Controls Tracker'!B3:B110,"Cybersecurity Governance",'Controls Tracker'!G3:G110,"Implemented")/COUNTIF('Controls Tracker'!B3:B110,"Cybersecurity Governance"))</f>
        <v>0</v>
      </c>
    </row>
    <row r="6" spans="1:12" x14ac:dyDescent="0.3">
      <c r="A6" t="s">
        <v>5</v>
      </c>
      <c r="B6">
        <f>COUNTIF('Controls Tracker'!G3:G110,"In Progress")</f>
        <v>0</v>
      </c>
      <c r="D6" t="s">
        <v>339</v>
      </c>
      <c r="E6">
        <f>COUNTIFS('Controls Tracker'!B3:B110,"Cybersecurity Defense",'Controls Tracker'!G3:G110,"Implemented")</f>
        <v>0</v>
      </c>
      <c r="F6">
        <f>COUNTIFS('Controls Tracker'!B3:B110,"Cybersecurity Defense",'Controls Tracker'!G3:G110,"In Progress")</f>
        <v>0</v>
      </c>
      <c r="G6">
        <f>COUNTIFS('Controls Tracker'!B3:B110,"Cybersecurity Defense",'Controls Tracker'!G3:G110,"Not Started")</f>
        <v>61</v>
      </c>
      <c r="I6" t="s">
        <v>339</v>
      </c>
      <c r="J6" s="49">
        <f>IF(COUNTIF('Controls Tracker'!B3:B110,"Cybersecurity Defense")=0,0,COUNTIFS('Controls Tracker'!B3:B110,"Cybersecurity Defense",'Controls Tracker'!G3:G110,"Implemented")/COUNTIF('Controls Tracker'!B3:B110,"Cybersecurity Defense"))</f>
        <v>0</v>
      </c>
    </row>
    <row r="7" spans="1:12" x14ac:dyDescent="0.3">
      <c r="A7" t="s">
        <v>6</v>
      </c>
      <c r="B7">
        <f>COUNTIF('Controls Tracker'!G3:G110,"Not Started")</f>
        <v>108</v>
      </c>
      <c r="D7" t="s">
        <v>340</v>
      </c>
      <c r="E7">
        <f>COUNTIFS('Controls Tracker'!B3:B110,"Cybersecurity Resilience",'Controls Tracker'!G3:G110,"Implemented")</f>
        <v>0</v>
      </c>
      <c r="F7">
        <f>COUNTIFS('Controls Tracker'!B3:B110,"Cybersecurity Resilience",'Controls Tracker'!G3:G110,"In Progress")</f>
        <v>0</v>
      </c>
      <c r="G7">
        <f>COUNTIFS('Controls Tracker'!B3:B110,"Cybersecurity Resilience",'Controls Tracker'!G3:G110,"Not Started")</f>
        <v>4</v>
      </c>
      <c r="I7" t="s">
        <v>340</v>
      </c>
      <c r="J7" s="49">
        <f>IF(COUNTIF('Controls Tracker'!B3:B110,"Cybersecurity Resilience")=0,0,COUNTIFS('Controls Tracker'!B3:B110,"Cybersecurity Resilience",'Controls Tracker'!G3:G110,"Implemented")/COUNTIF('Controls Tracker'!B3:B110,"Cybersecurity Resilience"))</f>
        <v>0</v>
      </c>
    </row>
    <row r="8" spans="1:12" x14ac:dyDescent="0.3">
      <c r="A8" t="s">
        <v>7</v>
      </c>
      <c r="B8">
        <f>COUNTIF('Controls Tracker'!G3:G110,"Not Applicable")</f>
        <v>0</v>
      </c>
      <c r="D8" t="s">
        <v>341</v>
      </c>
      <c r="E8">
        <f>COUNTIFS('Controls Tracker'!B3:B110,"Third-Party &amp; Cloud Computing CS",'Controls Tracker'!G3:G110,"Implemented")</f>
        <v>0</v>
      </c>
      <c r="F8">
        <f>COUNTIFS('Controls Tracker'!B3:B110,"Third-Party &amp; Cloud Computing CS",'Controls Tracker'!G3:G110,"In Progress")</f>
        <v>0</v>
      </c>
      <c r="G8">
        <f>COUNTIFS('Controls Tracker'!B3:B110,"Third-Party &amp; Cloud Computing CS",'Controls Tracker'!G3:G110,"Not Started")</f>
        <v>8</v>
      </c>
      <c r="I8" t="s">
        <v>341</v>
      </c>
      <c r="J8" s="49">
        <f>IF(COUNTIF('Controls Tracker'!B3:B110,"Third-Party &amp; Cloud Computing CS")=0,0,COUNTIFS('Controls Tracker'!B3:B110,"Third-Party &amp; Cloud Computing CS",'Controls Tracker'!G3:G110,"Implemented")/COUNTIF('Controls Tracker'!B3:B110,"Third-Party &amp; Cloud Computing CS"))</f>
        <v>0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Controls Tracker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omar Elmahdy</cp:lastModifiedBy>
  <cp:revision>1</cp:revision>
  <dcterms:created xsi:type="dcterms:W3CDTF">2026-02-11T09:48:22Z</dcterms:created>
  <dcterms:modified xsi:type="dcterms:W3CDTF">2026-02-11T10:05:52Z</dcterms:modified>
  <dc:language>en-US</dc:language>
</cp:coreProperties>
</file>